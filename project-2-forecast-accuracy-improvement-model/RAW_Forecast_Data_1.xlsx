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Sponsored jobs CV\Projects\Forecast accuracy Improvement Model\"/>
    </mc:Choice>
  </mc:AlternateContent>
  <xr:revisionPtr revIDLastSave="0" documentId="13_ncr:1_{D5E819A0-203C-4ED1-9C61-5BFD4CD035E6}" xr6:coauthVersionLast="47" xr6:coauthVersionMax="47" xr10:uidLastSave="{00000000-0000-0000-0000-000000000000}"/>
  <bookViews>
    <workbookView xWindow="-24780" yWindow="1365" windowWidth="21060" windowHeight="11340" activeTab="2" xr2:uid="{00000000-000D-0000-FFFF-FFFF00000000}"/>
  </bookViews>
  <sheets>
    <sheet name="RAW_Forecast_Data" sheetId="1" r:id="rId1"/>
    <sheet name="Cleaned_Forecast_Data" sheetId="11" r:id="rId2"/>
    <sheet name="Email_Summary" sheetId="13" r:id="rId3"/>
    <sheet name="Analysis_Sheet" sheetId="12" r:id="rId4"/>
    <sheet name="Data_Dictionary" sheetId="2" r:id="rId5"/>
    <sheet name="Messy_Data_Log" sheetId="4" r:id="rId6"/>
  </sheets>
  <definedNames>
    <definedName name="_xlnm._FilterDatabase" localSheetId="3" hidden="1">Analysis_Sheet!$A$29:$E$32</definedName>
    <definedName name="ExternalData_1" localSheetId="1" hidden="1">Cleaned_Forecast_Data!$A:$N</definedName>
  </definedNames>
  <calcPr calcId="191029"/>
</workbook>
</file>

<file path=xl/calcChain.xml><?xml version="1.0" encoding="utf-8"?>
<calcChain xmlns="http://schemas.openxmlformats.org/spreadsheetml/2006/main">
  <c r="B5" i="13" l="1"/>
  <c r="B8" i="13"/>
  <c r="B4" i="13"/>
  <c r="B3" i="13"/>
  <c r="B2" i="13"/>
  <c r="I52" i="12"/>
  <c r="F53" i="12"/>
  <c r="F54" i="12"/>
  <c r="F55" i="12"/>
  <c r="F56" i="12"/>
  <c r="F57" i="12"/>
  <c r="F58" i="12"/>
  <c r="F59" i="12"/>
  <c r="F60" i="12"/>
  <c r="G60" i="12" s="1"/>
  <c r="F61" i="12"/>
  <c r="F62" i="12"/>
  <c r="F63" i="12"/>
  <c r="F64" i="12"/>
  <c r="H64" i="12" s="1"/>
  <c r="F65" i="12"/>
  <c r="F66" i="12"/>
  <c r="F67" i="12"/>
  <c r="F68" i="12"/>
  <c r="F69" i="12"/>
  <c r="F70" i="12"/>
  <c r="F71" i="12"/>
  <c r="F52" i="12"/>
  <c r="E53" i="12"/>
  <c r="E54" i="12"/>
  <c r="E55" i="12"/>
  <c r="E56" i="12"/>
  <c r="H56" i="12" s="1"/>
  <c r="E57" i="12"/>
  <c r="E58" i="12"/>
  <c r="E59" i="12"/>
  <c r="E60" i="12"/>
  <c r="H60" i="12" s="1"/>
  <c r="E61" i="12"/>
  <c r="E62" i="12"/>
  <c r="E63" i="12"/>
  <c r="E64" i="12"/>
  <c r="E65" i="12"/>
  <c r="E66" i="12"/>
  <c r="E67" i="12"/>
  <c r="E68" i="12"/>
  <c r="E69" i="12"/>
  <c r="E70" i="12"/>
  <c r="E71" i="12"/>
  <c r="H71" i="12" s="1"/>
  <c r="E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G64" i="12" s="1"/>
  <c r="D65" i="12"/>
  <c r="D66" i="12"/>
  <c r="D67" i="12"/>
  <c r="D68" i="12"/>
  <c r="D69" i="12"/>
  <c r="D70" i="12"/>
  <c r="D71" i="12"/>
  <c r="D52" i="12"/>
  <c r="G71" i="12"/>
  <c r="H70" i="12"/>
  <c r="G70" i="12"/>
  <c r="H69" i="12"/>
  <c r="G67" i="12"/>
  <c r="H67" i="12"/>
  <c r="H66" i="12"/>
  <c r="G66" i="12"/>
  <c r="H65" i="12"/>
  <c r="H63" i="12"/>
  <c r="H62" i="12"/>
  <c r="I62" i="12" s="1"/>
  <c r="G62" i="12"/>
  <c r="H61" i="12"/>
  <c r="H59" i="12"/>
  <c r="H58" i="12"/>
  <c r="G58" i="12"/>
  <c r="H57" i="12"/>
  <c r="G56" i="12"/>
  <c r="H55" i="12"/>
  <c r="H54" i="12"/>
  <c r="G54" i="12"/>
  <c r="G53" i="12"/>
  <c r="C39" i="12"/>
  <c r="C40" i="12"/>
  <c r="C38" i="12"/>
  <c r="B39" i="12"/>
  <c r="B40" i="12"/>
  <c r="B38" i="12"/>
  <c r="C31" i="12"/>
  <c r="C32" i="12"/>
  <c r="C30" i="12"/>
  <c r="B31" i="12"/>
  <c r="B32" i="12"/>
  <c r="B30" i="12"/>
  <c r="H5" i="12"/>
  <c r="I5" i="12" s="1"/>
  <c r="H6" i="12"/>
  <c r="I6" i="12" s="1"/>
  <c r="H7" i="12"/>
  <c r="I7" i="12" s="1"/>
  <c r="H8" i="12"/>
  <c r="I8" i="12" s="1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I14" i="12" s="1"/>
  <c r="H15" i="12"/>
  <c r="I15" i="12" s="1"/>
  <c r="H16" i="12"/>
  <c r="I16" i="12" s="1"/>
  <c r="H17" i="12"/>
  <c r="I17" i="12" s="1"/>
  <c r="H18" i="12"/>
  <c r="I18" i="12" s="1"/>
  <c r="H19" i="12"/>
  <c r="I19" i="12" s="1"/>
  <c r="H20" i="12"/>
  <c r="I20" i="12" s="1"/>
  <c r="H21" i="12"/>
  <c r="I21" i="12" s="1"/>
  <c r="H22" i="12"/>
  <c r="I22" i="12" s="1"/>
  <c r="H23" i="12"/>
  <c r="I23" i="12" s="1"/>
  <c r="H4" i="12"/>
  <c r="I4" i="12" s="1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4" i="12"/>
  <c r="D5" i="12"/>
  <c r="G5" i="12" s="1"/>
  <c r="D6" i="12"/>
  <c r="D7" i="12"/>
  <c r="G7" i="12" s="1"/>
  <c r="D8" i="12"/>
  <c r="D9" i="12"/>
  <c r="G9" i="12" s="1"/>
  <c r="D10" i="12"/>
  <c r="D11" i="12"/>
  <c r="F11" i="12" s="1"/>
  <c r="D12" i="12"/>
  <c r="G12" i="12" s="1"/>
  <c r="D13" i="12"/>
  <c r="G13" i="12" s="1"/>
  <c r="D14" i="12"/>
  <c r="G14" i="12" s="1"/>
  <c r="D15" i="12"/>
  <c r="G15" i="12" s="1"/>
  <c r="D16" i="12"/>
  <c r="G16" i="12" s="1"/>
  <c r="D17" i="12"/>
  <c r="F17" i="12" s="1"/>
  <c r="D18" i="12"/>
  <c r="D19" i="12"/>
  <c r="F19" i="12" s="1"/>
  <c r="D20" i="12"/>
  <c r="D21" i="12"/>
  <c r="G21" i="12" s="1"/>
  <c r="D22" i="12"/>
  <c r="D23" i="12"/>
  <c r="G23" i="12" s="1"/>
  <c r="D4" i="12"/>
  <c r="G22" i="12"/>
  <c r="G18" i="12"/>
  <c r="G10" i="12"/>
  <c r="G6" i="12"/>
  <c r="B44" i="12"/>
  <c r="L18" i="12"/>
  <c r="G68" i="12" l="1"/>
  <c r="I54" i="12"/>
  <c r="I70" i="12"/>
  <c r="H68" i="12"/>
  <c r="G52" i="12"/>
  <c r="H52" i="12"/>
  <c r="G69" i="12"/>
  <c r="I67" i="12"/>
  <c r="I60" i="12"/>
  <c r="I68" i="12"/>
  <c r="I58" i="12"/>
  <c r="I66" i="12"/>
  <c r="I71" i="12"/>
  <c r="I56" i="12"/>
  <c r="I64" i="12"/>
  <c r="I69" i="12"/>
  <c r="G57" i="12"/>
  <c r="I57" i="12" s="1"/>
  <c r="G59" i="12"/>
  <c r="I59" i="12" s="1"/>
  <c r="G61" i="12"/>
  <c r="I61" i="12" s="1"/>
  <c r="G63" i="12"/>
  <c r="I63" i="12" s="1"/>
  <c r="G65" i="12"/>
  <c r="I65" i="12" s="1"/>
  <c r="G55" i="12"/>
  <c r="I55" i="12" s="1"/>
  <c r="H53" i="12"/>
  <c r="I53" i="12" s="1"/>
  <c r="G11" i="12"/>
  <c r="G17" i="12"/>
  <c r="E38" i="12"/>
  <c r="E40" i="12"/>
  <c r="E39" i="12"/>
  <c r="D38" i="12"/>
  <c r="D39" i="12"/>
  <c r="D40" i="12"/>
  <c r="F9" i="12"/>
  <c r="F13" i="12"/>
  <c r="F5" i="12"/>
  <c r="F21" i="12"/>
  <c r="F7" i="12"/>
  <c r="G19" i="12"/>
  <c r="F23" i="12"/>
  <c r="G8" i="12"/>
  <c r="E31" i="12"/>
  <c r="E32" i="12"/>
  <c r="E30" i="12"/>
  <c r="D30" i="12"/>
  <c r="D31" i="12"/>
  <c r="D32" i="12"/>
  <c r="G20" i="12"/>
  <c r="G4" i="12"/>
  <c r="F15" i="12"/>
  <c r="F4" i="12"/>
  <c r="F6" i="12"/>
  <c r="F8" i="12"/>
  <c r="F10" i="12"/>
  <c r="F12" i="12"/>
  <c r="F14" i="12"/>
  <c r="F16" i="12"/>
  <c r="F18" i="12"/>
  <c r="F20" i="12"/>
  <c r="F22" i="12"/>
  <c r="B4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46556-CACB-46B1-8FD1-88D1A2B4F6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<sst xmlns="http://schemas.openxmlformats.org/spreadsheetml/2006/main" count="14750" uniqueCount="648">
  <si>
    <t>Rep_ID</t>
  </si>
  <si>
    <t>Rep_Name</t>
  </si>
  <si>
    <t>Segment</t>
  </si>
  <si>
    <t>Week_Ending_Date</t>
  </si>
  <si>
    <t>Quarter</t>
  </si>
  <si>
    <t>Forecasted_Revenue</t>
  </si>
  <si>
    <t>Actual_Revenue_Closed</t>
  </si>
  <si>
    <t>Pipeline_Value</t>
  </si>
  <si>
    <t>Weighted_Pipeline</t>
  </si>
  <si>
    <t>Stage_Distribution</t>
  </si>
  <si>
    <t>Deal_Count_Forecasted</t>
  </si>
  <si>
    <t>Deal_Count_Closed</t>
  </si>
  <si>
    <t>Forecast_Submitted_On_Time</t>
  </si>
  <si>
    <t>Notes</t>
  </si>
  <si>
    <t>E01</t>
  </si>
  <si>
    <t>James Whitfield</t>
  </si>
  <si>
    <t>Enterprise</t>
  </si>
  <si>
    <t>05/01/2024</t>
  </si>
  <si>
    <t>Q1 2024</t>
  </si>
  <si>
    <t>Qualify:20%,Propose:20%,Negotiate:40%,Close:20%</t>
  </si>
  <si>
    <t>Y</t>
  </si>
  <si>
    <t>E02</t>
  </si>
  <si>
    <t>Sarah Thornton</t>
  </si>
  <si>
    <t>2024-01-05</t>
  </si>
  <si>
    <t>Jan-Mar 2024</t>
  </si>
  <si>
    <t>Qualify:10%,Propose:35%,Negotiate:40%,Close:15%</t>
  </si>
  <si>
    <t>Verbal commit received – awaiting paperwork</t>
  </si>
  <si>
    <t>E03</t>
  </si>
  <si>
    <t>Marcus Bellingham</t>
  </si>
  <si>
    <t>enterprise</t>
  </si>
  <si>
    <t>Yes</t>
  </si>
  <si>
    <t>Budget freeze reported by prospect</t>
  </si>
  <si>
    <t>E04</t>
  </si>
  <si>
    <t>Olivia Hargreaves</t>
  </si>
  <si>
    <t xml:space="preserve">Enterprise </t>
  </si>
  <si>
    <t>05-01-2024</t>
  </si>
  <si>
    <t>Qualify:25%,Propose:30%,Negotiate:35%,Close:10%</t>
  </si>
  <si>
    <t>Late</t>
  </si>
  <si>
    <t>NA</t>
  </si>
  <si>
    <t>E05</t>
  </si>
  <si>
    <t>Richard Cavendish</t>
  </si>
  <si>
    <t>Qualify:15%,Propose:40%,Negotiate:25%,Close:20%</t>
  </si>
  <si>
    <t>YES</t>
  </si>
  <si>
    <t>Revised following manager review</t>
  </si>
  <si>
    <t>E06</t>
  </si>
  <si>
    <t>Helena Forsythe</t>
  </si>
  <si>
    <t>ENTERPRISE</t>
  </si>
  <si>
    <t>05.01.2024</t>
  </si>
  <si>
    <t>£267,249</t>
  </si>
  <si>
    <t>M01</t>
  </si>
  <si>
    <t>Daniel Ashworth</t>
  </si>
  <si>
    <t>Mid-Market</t>
  </si>
  <si>
    <t>05/01/24</t>
  </si>
  <si>
    <t>Qualify:5%,Propose:45%,Negotiate:30%,Close:20%</t>
  </si>
  <si>
    <t>y</t>
  </si>
  <si>
    <t>M02</t>
  </si>
  <si>
    <t>Priya Mehta</t>
  </si>
  <si>
    <t>MM</t>
  </si>
  <si>
    <t>yes</t>
  </si>
  <si>
    <t>M03</t>
  </si>
  <si>
    <t>Tom Baxter</t>
  </si>
  <si>
    <t>MidMarket</t>
  </si>
  <si>
    <t>M04</t>
  </si>
  <si>
    <t>Claire Pemberton</t>
  </si>
  <si>
    <t>n</t>
  </si>
  <si>
    <t>-</t>
  </si>
  <si>
    <t>M05</t>
  </si>
  <si>
    <t>Nathan Griffiths</t>
  </si>
  <si>
    <t>M06</t>
  </si>
  <si>
    <t>Yasmin Khalid</t>
  </si>
  <si>
    <t>mid-market</t>
  </si>
  <si>
    <t>05 Jan 2024</t>
  </si>
  <si>
    <t>Q1-2024</t>
  </si>
  <si>
    <t>Forecast includes upsell opportunity</t>
  </si>
  <si>
    <t>M07</t>
  </si>
  <si>
    <t>Andrew Collinson</t>
  </si>
  <si>
    <t>Mid market</t>
  </si>
  <si>
    <t>Qualify:30%,Propose:25%,Negotiate:25%,Close:20%</t>
  </si>
  <si>
    <t>S01</t>
  </si>
  <si>
    <t>Lucy Drummond</t>
  </si>
  <si>
    <t xml:space="preserve">SMB </t>
  </si>
  <si>
    <t>n/a</t>
  </si>
  <si>
    <t>S02</t>
  </si>
  <si>
    <t>Ben Hartley</t>
  </si>
  <si>
    <t>S03</t>
  </si>
  <si>
    <t>Fiona McKenzie</t>
  </si>
  <si>
    <t>Smb</t>
  </si>
  <si>
    <t>S04</t>
  </si>
  <si>
    <t>Callum Reid</t>
  </si>
  <si>
    <t>S M B</t>
  </si>
  <si>
    <t>S05</t>
  </si>
  <si>
    <t>Amara Osei</t>
  </si>
  <si>
    <t>no</t>
  </si>
  <si>
    <t>S06</t>
  </si>
  <si>
    <t>Steven Bowman</t>
  </si>
  <si>
    <t>N/A</t>
  </si>
  <si>
    <t>S07</t>
  </si>
  <si>
    <t>Rachel Sutton</t>
  </si>
  <si>
    <t>122320k</t>
  </si>
  <si>
    <t>NO</t>
  </si>
  <si>
    <t>12/01/24</t>
  </si>
  <si>
    <t>New logo opportunity added</t>
  </si>
  <si>
    <t>12/01/2024</t>
  </si>
  <si>
    <t>12.01.2024</t>
  </si>
  <si>
    <t>Qualify:20%,Propose:35%,Negotiate:30%,Close:15%</t>
  </si>
  <si>
    <t>Deal pulled forward from next quarter</t>
  </si>
  <si>
    <t>12 Jan 2024</t>
  </si>
  <si>
    <t>£291,500</t>
  </si>
  <si>
    <t>2024-01-12</t>
  </si>
  <si>
    <t>q1 2024</t>
  </si>
  <si>
    <t>none</t>
  </si>
  <si>
    <t>ENT</t>
  </si>
  <si>
    <t>No</t>
  </si>
  <si>
    <t>Pipeline updated post-QBR</t>
  </si>
  <si>
    <t>Mid Market</t>
  </si>
  <si>
    <t>Two deals slipped to next week</t>
  </si>
  <si>
    <t>Small Business</t>
  </si>
  <si>
    <t>19-01-2024</t>
  </si>
  <si>
    <t>Ent</t>
  </si>
  <si>
    <t>19.01.2024</t>
  </si>
  <si>
    <t>19/01/2024</t>
  </si>
  <si>
    <t>2024-01-19</t>
  </si>
  <si>
    <t>19 Jan 2024</t>
  </si>
  <si>
    <t>Q1</t>
  </si>
  <si>
    <t>GBP 242,562</t>
  </si>
  <si>
    <t>Large renewal included</t>
  </si>
  <si>
    <t>smb</t>
  </si>
  <si>
    <t>Customer procurement delay</t>
  </si>
  <si>
    <t>£97,998</t>
  </si>
  <si>
    <t>26/01/2024</t>
  </si>
  <si>
    <t>N</t>
  </si>
  <si>
    <t>419501k</t>
  </si>
  <si>
    <t>26/01/24</t>
  </si>
  <si>
    <t>26.01.2024</t>
  </si>
  <si>
    <t>2024-01-26</t>
  </si>
  <si>
    <t>26-01-2024</t>
  </si>
  <si>
    <t>26 Jan 2024</t>
  </si>
  <si>
    <t>SMB</t>
  </si>
  <si>
    <t>02/02/2024</t>
  </si>
  <si>
    <t>2024-02-02</t>
  </si>
  <si>
    <t>02 Feb 2024</t>
  </si>
  <si>
    <t>£93882</t>
  </si>
  <si>
    <t>02.02.2024</t>
  </si>
  <si>
    <t>02/02/24</t>
  </si>
  <si>
    <t>£141190</t>
  </si>
  <si>
    <t>02-02-2024</t>
  </si>
  <si>
    <t>09/02/2024</t>
  </si>
  <si>
    <t>09.02.2024</t>
  </si>
  <si>
    <t>09 Feb 2024</t>
  </si>
  <si>
    <t>2024-02-09</t>
  </si>
  <si>
    <t>09/02/24</t>
  </si>
  <si>
    <t>09-02-2024</t>
  </si>
  <si>
    <t>276182k</t>
  </si>
  <si>
    <t>16/02/2024</t>
  </si>
  <si>
    <t>16-02-2024</t>
  </si>
  <si>
    <t>2024-02-16</t>
  </si>
  <si>
    <t>16/02/24</t>
  </si>
  <si>
    <t>16.02.2024</t>
  </si>
  <si>
    <t>16 Feb 2024</t>
  </si>
  <si>
    <t>23/02/2024</t>
  </si>
  <si>
    <t>23.02.2024</t>
  </si>
  <si>
    <t>2024-02-23</t>
  </si>
  <si>
    <t>23/02/24</t>
  </si>
  <si>
    <t>£279356</t>
  </si>
  <si>
    <t>23-02-2024</t>
  </si>
  <si>
    <t>01 Mar 2024</t>
  </si>
  <si>
    <t>01/03/2024</t>
  </si>
  <si>
    <t>2024-03-01</t>
  </si>
  <si>
    <t>01-03-2024</t>
  </si>
  <si>
    <t>GBP 238,313</t>
  </si>
  <si>
    <t>£284,146</t>
  </si>
  <si>
    <t>01/03/24</t>
  </si>
  <si>
    <t>47575k</t>
  </si>
  <si>
    <t>08-03-2024</t>
  </si>
  <si>
    <t>08 Mar 2024</t>
  </si>
  <si>
    <t>08/03/24</t>
  </si>
  <si>
    <t>08/03/2024</t>
  </si>
  <si>
    <t>LATE</t>
  </si>
  <si>
    <t>08.03.2024</t>
  </si>
  <si>
    <t>2024-03-08</t>
  </si>
  <si>
    <t>15-03-2024</t>
  </si>
  <si>
    <t>£140117</t>
  </si>
  <si>
    <t>15.03.2024</t>
  </si>
  <si>
    <t>15/03/2024</t>
  </si>
  <si>
    <t>£98,368</t>
  </si>
  <si>
    <t>£165,260</t>
  </si>
  <si>
    <t>15 Mar 2024</t>
  </si>
  <si>
    <t>15/03/24</t>
  </si>
  <si>
    <t>GBP 15,193</t>
  </si>
  <si>
    <t>22/03/2024</t>
  </si>
  <si>
    <t>2024-03-22</t>
  </si>
  <si>
    <t>22/03/24</t>
  </si>
  <si>
    <t>22-03-2024</t>
  </si>
  <si>
    <t>GBP 74,805</t>
  </si>
  <si>
    <t>22.03.2024</t>
  </si>
  <si>
    <t>22 Mar 2024</t>
  </si>
  <si>
    <t>9091k</t>
  </si>
  <si>
    <t>GBP 97,383</t>
  </si>
  <si>
    <t>29/03/24</t>
  </si>
  <si>
    <t>29 Mar 2024</t>
  </si>
  <si>
    <t>2024-03-29</t>
  </si>
  <si>
    <t>29-03-2024</t>
  </si>
  <si>
    <t>29.03.2024</t>
  </si>
  <si>
    <t>29/03/2024</t>
  </si>
  <si>
    <t>05-04-2024</t>
  </si>
  <si>
    <t>Q2 2024</t>
  </si>
  <si>
    <t>£396,710</t>
  </si>
  <si>
    <t>05.04.2024</t>
  </si>
  <si>
    <t>£141,378</t>
  </si>
  <si>
    <t>05/04/24</t>
  </si>
  <si>
    <t>05/04/2024</t>
  </si>
  <si>
    <t>£104579</t>
  </si>
  <si>
    <t>Apr-Jun 2024</t>
  </si>
  <si>
    <t>05 Apr 2024</t>
  </si>
  <si>
    <t>Q2</t>
  </si>
  <si>
    <t>Q2-2024</t>
  </si>
  <si>
    <t>q2 2024</t>
  </si>
  <si>
    <t>12/04/2024</t>
  </si>
  <si>
    <t>12-04-2024</t>
  </si>
  <si>
    <t>£334671</t>
  </si>
  <si>
    <t>12.04.2024</t>
  </si>
  <si>
    <t>2024-04-12</t>
  </si>
  <si>
    <t>19/04/2024</t>
  </si>
  <si>
    <t>19/04/24</t>
  </si>
  <si>
    <t>362261k</t>
  </si>
  <si>
    <t>19 Apr 2024</t>
  </si>
  <si>
    <t>19.04.2024</t>
  </si>
  <si>
    <t>2024-04-19</t>
  </si>
  <si>
    <t>GBP 42,672</t>
  </si>
  <si>
    <t>26/04/2024</t>
  </si>
  <si>
    <t>26 Apr 2024</t>
  </si>
  <si>
    <t>26.04.2024</t>
  </si>
  <si>
    <t>26/04/24</t>
  </si>
  <si>
    <t>2024-04-26</t>
  </si>
  <si>
    <t>26-04-2024</t>
  </si>
  <si>
    <t>84902k</t>
  </si>
  <si>
    <t>03.05.2024</t>
  </si>
  <si>
    <t>03/05/2024</t>
  </si>
  <si>
    <t>03-05-2024</t>
  </si>
  <si>
    <t>03 May 2024</t>
  </si>
  <si>
    <t>03/05/24</t>
  </si>
  <si>
    <t>2024-05-03</t>
  </si>
  <si>
    <t>10/05/2024</t>
  </si>
  <si>
    <t>10 May 2024</t>
  </si>
  <si>
    <t>10.05.2024</t>
  </si>
  <si>
    <t>2024-05-10</t>
  </si>
  <si>
    <t>£14924</t>
  </si>
  <si>
    <t>£42,357</t>
  </si>
  <si>
    <t>17 May 2024</t>
  </si>
  <si>
    <t>17/05/2024</t>
  </si>
  <si>
    <t>17/05/24</t>
  </si>
  <si>
    <t>17-05-2024</t>
  </si>
  <si>
    <t>2024-05-17</t>
  </si>
  <si>
    <t>17.05.2024</t>
  </si>
  <si>
    <t>GBP 85,783</t>
  </si>
  <si>
    <t>24/05/2024</t>
  </si>
  <si>
    <t>£902715</t>
  </si>
  <si>
    <t>24/05/24</t>
  </si>
  <si>
    <t>2024-05-24</t>
  </si>
  <si>
    <t>24.05.2024</t>
  </si>
  <si>
    <t>24-05-2024</t>
  </si>
  <si>
    <t>24 May 2024</t>
  </si>
  <si>
    <t>£45068</t>
  </si>
  <si>
    <t>31/05/2024</t>
  </si>
  <si>
    <t>31-05-2024</t>
  </si>
  <si>
    <t>31.05.2024</t>
  </si>
  <si>
    <t>2024-05-31</t>
  </si>
  <si>
    <t>31 May 2024</t>
  </si>
  <si>
    <t>£281319</t>
  </si>
  <si>
    <t>31/05/24</t>
  </si>
  <si>
    <t>£21854</t>
  </si>
  <si>
    <t>07-06-2024</t>
  </si>
  <si>
    <t>107216k</t>
  </si>
  <si>
    <t>07/06/2024</t>
  </si>
  <si>
    <t>07.06.2024</t>
  </si>
  <si>
    <t>07/06/24</t>
  </si>
  <si>
    <t>£454287</t>
  </si>
  <si>
    <t>07 Jun 2024</t>
  </si>
  <si>
    <t>16802k</t>
  </si>
  <si>
    <t>GBP 83,601</t>
  </si>
  <si>
    <t>2024-06-14</t>
  </si>
  <si>
    <t>14/06/2024</t>
  </si>
  <si>
    <t>GBP 455,487</t>
  </si>
  <si>
    <t>14-06-2024</t>
  </si>
  <si>
    <t>14.06.2024</t>
  </si>
  <si>
    <t>14 Jun 2024</t>
  </si>
  <si>
    <t>GBP 168,984</t>
  </si>
  <si>
    <t>14/06/24</t>
  </si>
  <si>
    <t>21/06/2024</t>
  </si>
  <si>
    <t>21.06.2024</t>
  </si>
  <si>
    <t>21 Jun 2024</t>
  </si>
  <si>
    <t>£468854</t>
  </si>
  <si>
    <t>21/06/24</t>
  </si>
  <si>
    <t>21-06-2024</t>
  </si>
  <si>
    <t>2024-06-21</t>
  </si>
  <si>
    <t>28/06/2024</t>
  </si>
  <si>
    <t>GBP 641,494</t>
  </si>
  <si>
    <t>GBP 95,217</t>
  </si>
  <si>
    <t>28 Jun 2024</t>
  </si>
  <si>
    <t>£531645</t>
  </si>
  <si>
    <t>2024-06-28</t>
  </si>
  <si>
    <t>£159,645</t>
  </si>
  <si>
    <t>28-06-2024</t>
  </si>
  <si>
    <t>28/06/24</t>
  </si>
  <si>
    <t>28.06.2024</t>
  </si>
  <si>
    <t>05/07/2024</t>
  </si>
  <si>
    <t>Q3 2024</t>
  </si>
  <si>
    <t>05.07.2024</t>
  </si>
  <si>
    <t>Q3-2024</t>
  </si>
  <si>
    <t>87821k</t>
  </si>
  <si>
    <t>£604448</t>
  </si>
  <si>
    <t>05-07-2024</t>
  </si>
  <si>
    <t>2024-07-05</t>
  </si>
  <si>
    <t>05/07/24</t>
  </si>
  <si>
    <t>05 Jul 2024</t>
  </si>
  <si>
    <t>GBP 33,610</t>
  </si>
  <si>
    <t>2024-07-12</t>
  </si>
  <si>
    <t>12.07.2024</t>
  </si>
  <si>
    <t>Jul-Sep 2024</t>
  </si>
  <si>
    <t>12 Jul 2024</t>
  </si>
  <si>
    <t>12/07/2024</t>
  </si>
  <si>
    <t>Q3</t>
  </si>
  <si>
    <t>12-07-2024</t>
  </si>
  <si>
    <t>19/07/24</t>
  </si>
  <si>
    <t>19.07.2024</t>
  </si>
  <si>
    <t>GBP 150,453</t>
  </si>
  <si>
    <t>19/07/2024</t>
  </si>
  <si>
    <t>£46574</t>
  </si>
  <si>
    <t>2024-07-19</t>
  </si>
  <si>
    <t>51940k</t>
  </si>
  <si>
    <t>19 Jul 2024</t>
  </si>
  <si>
    <t>£2147</t>
  </si>
  <si>
    <t>q3 2024</t>
  </si>
  <si>
    <t>26/07/2024</t>
  </si>
  <si>
    <t>26/07/24</t>
  </si>
  <si>
    <t>26-07-2024</t>
  </si>
  <si>
    <t>2024-07-26</t>
  </si>
  <si>
    <t>26.07.2024</t>
  </si>
  <si>
    <t>26 Jul 2024</t>
  </si>
  <si>
    <t>02/08/2024</t>
  </si>
  <si>
    <t>02 Aug 2024</t>
  </si>
  <si>
    <t>02/08/24</t>
  </si>
  <si>
    <t>02.08.2024</t>
  </si>
  <si>
    <t>2024-08-02</t>
  </si>
  <si>
    <t>GBP 152,037</t>
  </si>
  <si>
    <t>02-08-2024</t>
  </si>
  <si>
    <t>09-08-2024</t>
  </si>
  <si>
    <t>09.08.2024</t>
  </si>
  <si>
    <t>09/08/2024</t>
  </si>
  <si>
    <t>09/08/24</t>
  </si>
  <si>
    <t>2024-08-09</t>
  </si>
  <si>
    <t>09 Aug 2024</t>
  </si>
  <si>
    <t>16/08/24</t>
  </si>
  <si>
    <t>16 Aug 2024</t>
  </si>
  <si>
    <t>GBP 109,653</t>
  </si>
  <si>
    <t>472786k</t>
  </si>
  <si>
    <t>16/08/2024</t>
  </si>
  <si>
    <t>16.08.2024</t>
  </si>
  <si>
    <t>GBP 168,286</t>
  </si>
  <si>
    <t>23-08-2024</t>
  </si>
  <si>
    <t>23.08.2024</t>
  </si>
  <si>
    <t>23/08/24</t>
  </si>
  <si>
    <t>23 Aug 2024</t>
  </si>
  <si>
    <t>23/08/2024</t>
  </si>
  <si>
    <t>2024-08-23</t>
  </si>
  <si>
    <t>GBP 324,786</t>
  </si>
  <si>
    <t>GBP 200,374</t>
  </si>
  <si>
    <t>GBP 28,792</t>
  </si>
  <si>
    <t>£77237</t>
  </si>
  <si>
    <t>2024-08-30</t>
  </si>
  <si>
    <t>GBP 356,450</t>
  </si>
  <si>
    <t>30.08.2024</t>
  </si>
  <si>
    <t>30/08/2024</t>
  </si>
  <si>
    <t>30 Aug 2024</t>
  </si>
  <si>
    <t>30-08-2024</t>
  </si>
  <si>
    <t>30/08/24</t>
  </si>
  <si>
    <t>68989k</t>
  </si>
  <si>
    <t>2024-09-06</t>
  </si>
  <si>
    <t>06.09.2024</t>
  </si>
  <si>
    <t>06 Sep 2024</t>
  </si>
  <si>
    <t>06/09/2024</t>
  </si>
  <si>
    <t>14327k</t>
  </si>
  <si>
    <t>£32853</t>
  </si>
  <si>
    <t>06-09-2024</t>
  </si>
  <si>
    <t>06/09/24</t>
  </si>
  <si>
    <t>2024-09-13</t>
  </si>
  <si>
    <t>13/09/24</t>
  </si>
  <si>
    <t>13/09/2024</t>
  </si>
  <si>
    <t>169137k</t>
  </si>
  <si>
    <t>13 Sep 2024</t>
  </si>
  <si>
    <t>GBP 38,798</t>
  </si>
  <si>
    <t>13.09.2024</t>
  </si>
  <si>
    <t>£61,219</t>
  </si>
  <si>
    <t>20/09/2024</t>
  </si>
  <si>
    <t>20.09.2024</t>
  </si>
  <si>
    <t>20/09/24</t>
  </si>
  <si>
    <t>2024-09-20</t>
  </si>
  <si>
    <t>GBP 220,806</t>
  </si>
  <si>
    <t>£337,051</t>
  </si>
  <si>
    <t>20 Sep 2024</t>
  </si>
  <si>
    <t>20-09-2024</t>
  </si>
  <si>
    <t>32407k</t>
  </si>
  <si>
    <t>£28,362</t>
  </si>
  <si>
    <t>27 Sep 2024</t>
  </si>
  <si>
    <t>27-09-2024</t>
  </si>
  <si>
    <t>27/09/24</t>
  </si>
  <si>
    <t>2024-09-27</t>
  </si>
  <si>
    <t>27.09.2024</t>
  </si>
  <si>
    <t>27/09/2024</t>
  </si>
  <si>
    <t>£39719</t>
  </si>
  <si>
    <t>42216k</t>
  </si>
  <si>
    <t>04/10/2024</t>
  </si>
  <si>
    <t>Q4</t>
  </si>
  <si>
    <t>2024-10-04</t>
  </si>
  <si>
    <t>Q4 2024</t>
  </si>
  <si>
    <t>04.10.2024</t>
  </si>
  <si>
    <t>Oct-Dec 2024</t>
  </si>
  <si>
    <t>04-10-2024</t>
  </si>
  <si>
    <t>04/10/24</t>
  </si>
  <si>
    <t>q4 2024</t>
  </si>
  <si>
    <t>04 Oct 2024</t>
  </si>
  <si>
    <t>£27,848</t>
  </si>
  <si>
    <t>£65711</t>
  </si>
  <si>
    <t>Q4-2024</t>
  </si>
  <si>
    <t>£17,578</t>
  </si>
  <si>
    <t>11/10/2024</t>
  </si>
  <si>
    <t>2024-10-11</t>
  </si>
  <si>
    <t>11/10/24</t>
  </si>
  <si>
    <t>11-10-2024</t>
  </si>
  <si>
    <t>11 Oct 2024</t>
  </si>
  <si>
    <t>11.10.2024</t>
  </si>
  <si>
    <t>18/10/2024</t>
  </si>
  <si>
    <t>2024-10-18</t>
  </si>
  <si>
    <t>18 Oct 2024</t>
  </si>
  <si>
    <t>18/10/24</t>
  </si>
  <si>
    <t>18.10.2024</t>
  </si>
  <si>
    <t>25.10.2024</t>
  </si>
  <si>
    <t>25 Oct 2024</t>
  </si>
  <si>
    <t>25/10/2024</t>
  </si>
  <si>
    <t>2024-10-25</t>
  </si>
  <si>
    <t>25/10/24</t>
  </si>
  <si>
    <t>176421k</t>
  </si>
  <si>
    <t>191340k</t>
  </si>
  <si>
    <t>GBP 33,832</t>
  </si>
  <si>
    <t>01 Nov 2024</t>
  </si>
  <si>
    <t>01/11/2024</t>
  </si>
  <si>
    <t>01-11-2024</t>
  </si>
  <si>
    <t>01/11/24</t>
  </si>
  <si>
    <t>320997k</t>
  </si>
  <si>
    <t>01.11.2024</t>
  </si>
  <si>
    <t>08/11/2024</t>
  </si>
  <si>
    <t>08 Nov 2024</t>
  </si>
  <si>
    <t>2024-11-08</t>
  </si>
  <si>
    <t>£504,314</t>
  </si>
  <si>
    <t>08.11.2024</t>
  </si>
  <si>
    <t>£367552</t>
  </si>
  <si>
    <t>08/11/24</t>
  </si>
  <si>
    <t>08-11-2024</t>
  </si>
  <si>
    <t>15/11/2024</t>
  </si>
  <si>
    <t>2024-11-15</t>
  </si>
  <si>
    <t>15-11-2024</t>
  </si>
  <si>
    <t>15/11/24</t>
  </si>
  <si>
    <t>15.11.2024</t>
  </si>
  <si>
    <t>15 Nov 2024</t>
  </si>
  <si>
    <t>22/11/2024</t>
  </si>
  <si>
    <t>22 Nov 2024</t>
  </si>
  <si>
    <t>£685,765</t>
  </si>
  <si>
    <t>22/11/24</t>
  </si>
  <si>
    <t>22.11.2024</t>
  </si>
  <si>
    <t>£18,080</t>
  </si>
  <si>
    <t>2024-11-22</t>
  </si>
  <si>
    <t>22-11-2024</t>
  </si>
  <si>
    <t>29/11/24</t>
  </si>
  <si>
    <t>29 Nov 2024</t>
  </si>
  <si>
    <t>2024-11-29</t>
  </si>
  <si>
    <t>29-11-2024</t>
  </si>
  <si>
    <t>29/11/2024</t>
  </si>
  <si>
    <t>29.11.2024</t>
  </si>
  <si>
    <t>£53,337</t>
  </si>
  <si>
    <t>06 Dec 2024</t>
  </si>
  <si>
    <t>87485k</t>
  </si>
  <si>
    <t>06/12/24</t>
  </si>
  <si>
    <t>06/12/2024</t>
  </si>
  <si>
    <t>06.12.2024</t>
  </si>
  <si>
    <t>06-12-2024</t>
  </si>
  <si>
    <t>£260037</t>
  </si>
  <si>
    <t>£53,156</t>
  </si>
  <si>
    <t>2024-12-06</t>
  </si>
  <si>
    <t>13/12/2024</t>
  </si>
  <si>
    <t>13 Dec 2024</t>
  </si>
  <si>
    <t>2024-12-13</t>
  </si>
  <si>
    <t>13.12.2024</t>
  </si>
  <si>
    <t>13-12-2024</t>
  </si>
  <si>
    <t>13/12/24</t>
  </si>
  <si>
    <t>GBP 21,525</t>
  </si>
  <si>
    <t>20/12/24</t>
  </si>
  <si>
    <t>20-12-2024</t>
  </si>
  <si>
    <t>2024-12-20</t>
  </si>
  <si>
    <t>20/12/2024</t>
  </si>
  <si>
    <t>20 Dec 2024</t>
  </si>
  <si>
    <t>20.12.2024</t>
  </si>
  <si>
    <t>2024-12-27</t>
  </si>
  <si>
    <t>27/12/24</t>
  </si>
  <si>
    <t>27/12/2024</t>
  </si>
  <si>
    <t>27.12.2024</t>
  </si>
  <si>
    <t>27-12-2024</t>
  </si>
  <si>
    <t>£96,153</t>
  </si>
  <si>
    <t>27 Dec 2024</t>
  </si>
  <si>
    <t>£20961</t>
  </si>
  <si>
    <t>£72107</t>
  </si>
  <si>
    <t>Column_Name</t>
  </si>
  <si>
    <t>Description</t>
  </si>
  <si>
    <t>Data_Type</t>
  </si>
  <si>
    <t>Expected_Format</t>
  </si>
  <si>
    <t>Example_Value</t>
  </si>
  <si>
    <t>Unique identifier for each sales representative</t>
  </si>
  <si>
    <t>Text</t>
  </si>
  <si>
    <t>Letter + 2 digits e.g. E01, M03, S07</t>
  </si>
  <si>
    <t>E = Enterprise, M = Mid-Market, S = SMB</t>
  </si>
  <si>
    <t>Full name of the sales representative</t>
  </si>
  <si>
    <t>First name and surname</t>
  </si>
  <si>
    <t>Should be consistent across all rows for the same rep</t>
  </si>
  <si>
    <t>The market segment the rep sells into</t>
  </si>
  <si>
    <t>One of three values: Enterprise, Mid-Market, SMB</t>
  </si>
  <si>
    <t>Inconsistent formatting found in raw data — needs standardising</t>
  </si>
  <si>
    <t>The Friday that marks the end of the working week the forecast covers</t>
  </si>
  <si>
    <t>Date</t>
  </si>
  <si>
    <t>DD/MM/YYYY</t>
  </si>
  <si>
    <t>Multiple date formats found in raw data — needs standardising</t>
  </si>
  <si>
    <t>The financial quarter the week falls within</t>
  </si>
  <si>
    <t>Q1 2024 / Q2 2024 / Q3 2024 / Q4 2024</t>
  </si>
  <si>
    <t>Inconsistent labels found in raw data — needs standardising</t>
  </si>
  <si>
    <t>The revenue the rep predicted they would close in that week</t>
  </si>
  <si>
    <t>Number</t>
  </si>
  <si>
    <t>Numeric value in GBP — no symbols or commas</t>
  </si>
  <si>
    <t>125000</t>
  </si>
  <si>
    <t>Some entries found as text strings e.g. £125,000 — needs cleaning</t>
  </si>
  <si>
    <t>The revenue the rep actually closed by end of that week</t>
  </si>
  <si>
    <t>118000</t>
  </si>
  <si>
    <t>Blank for all Q4 2024 rows as the quarter had not yet closed at time of data export</t>
  </si>
  <si>
    <t>Total value of all active deals the rep currently has in progress</t>
  </si>
  <si>
    <t>450000</t>
  </si>
  <si>
    <t>Should always be higher than Forecasted_Revenue — flag where it is not</t>
  </si>
  <si>
    <t>Pipeline value adjusted by probability of closing based on deal stage</t>
  </si>
  <si>
    <t>157500</t>
  </si>
  <si>
    <t>Calculated field — should always be lower than Pipeline_Value</t>
  </si>
  <si>
    <t>Breakdown of where the rep's deals sit across the four pipeline stages</t>
  </si>
  <si>
    <t>Qualify:XX%, Propose:XX%, Negotiate:XX%, Close:XX%</t>
  </si>
  <si>
    <t>Percentages should sum to 100%</t>
  </si>
  <si>
    <t>Number of individual deals the rep predicted they would close that week</t>
  </si>
  <si>
    <t>Whole number — no decimals</t>
  </si>
  <si>
    <t>3</t>
  </si>
  <si>
    <t>Should be reviewed alongside Forecasted_Revenue — large revenue on 1 deal is high risk</t>
  </si>
  <si>
    <t>Number of deals the rep actually closed that week</t>
  </si>
  <si>
    <t>2</t>
  </si>
  <si>
    <t>Blank for all Q4 2024 rows — same reason as Actual_Revenue_Closed</t>
  </si>
  <si>
    <t>Whether the rep submitted their forecast before the weekly deadline</t>
  </si>
  <si>
    <t>Yes or No</t>
  </si>
  <si>
    <t>Inconsistent values found e.g. Y, y, YES, Late — needs standardising to Yes or No only</t>
  </si>
  <si>
    <t>Free text comment added by the rep or their manager about that week's forecast</t>
  </si>
  <si>
    <t>Free text — optional field</t>
  </si>
  <si>
    <t>Many blanks, N/A, n/a, and dashes present — treat all as blank during cleaning</t>
  </si>
  <si>
    <t>Rows_Affected</t>
  </si>
  <si>
    <t>Example</t>
  </si>
  <si>
    <t>Impact</t>
  </si>
  <si>
    <t>Cleaning_Action_Planned</t>
  </si>
  <si>
    <t>Issue_Found</t>
  </si>
  <si>
    <t>Inconsistent values, same segment entered in multiple different ways</t>
  </si>
  <si>
    <t xml:space="preserve"> Multiple rows affected across all reps</t>
  </si>
  <si>
    <t>Enterprise, ENT, enterprise, Ent, ENTERPRISE all found in same column</t>
  </si>
  <si>
    <t>Segment-level analysis and filtering will break if not standardised</t>
  </si>
  <si>
    <t>Standardise all values to Enterprise, Mid-Market, or SMB only</t>
  </si>
  <si>
    <t>Multiple rows affected across all reps</t>
  </si>
  <si>
    <t>Inconsistent date format -  same date type entered in multiple formats</t>
  </si>
  <si>
    <t>05/01/2024, 05-01-2024, 05 Jan 2024, 2024-01-05 all found in same column.</t>
  </si>
  <si>
    <t>Date-based calculations, sorting, and time series analysis will break if not standardised</t>
  </si>
  <si>
    <t>Standardise all dates to DD/MM/YYYY format</t>
  </si>
  <si>
    <t>Inconsistent labels, same quarter expressed in multiple different ways</t>
  </si>
  <si>
    <t>Q1 2024, Q1-2024, Q1, q1 2024, Jan-Mar 2024 all found in same column</t>
  </si>
  <si>
    <t>Quarter-level analysis and filtering will produce incorrect results if not standardised</t>
  </si>
  <si>
    <t>Standardise all values to Q1 2024, Q2 2024, Q3 2024, Q4 2024 format only</t>
  </si>
  <si>
    <t>Mixed data types, some values entered as text strings instead of numbers</t>
  </si>
  <si>
    <t>Approximately 47 rows affected</t>
  </si>
  <si>
    <t>£125,000 and GBP 45,000 and 45k found instead of plain numeric values</t>
  </si>
  <si>
    <t>Any formula or calculation using this column will return an error or be ignored where values are text</t>
  </si>
  <si>
    <t>Strip all symbols and text, convert all values to plain numbers</t>
  </si>
  <si>
    <t>Blank values,  entire quarter missing actual revenue figures</t>
  </si>
  <si>
    <t>Approximately 241 rows affected ,all Q4 2024 rows</t>
  </si>
  <si>
    <t>Forecast accuracy calculations will fail or be skewed if blanks are not handled correctly</t>
  </si>
  <si>
    <t>Cells are blank where quarter has not yet closed at time of data export</t>
  </si>
  <si>
    <t>Exclude all Q4 2024 rows from any forecast accuracy calculations, do not delete them</t>
  </si>
  <si>
    <t>Inconsistent values - same Yes/No answer entered in multiple different ways</t>
  </si>
  <si>
    <t>Yes, yes, YES, Y, y, No, no, NO, N, Late, LATE all found in same column</t>
  </si>
  <si>
    <t>Submission compliance reporting will be inaccurate if values are not standardised</t>
  </si>
  <si>
    <t>Standardise all positive values to Yes and all negative values to No</t>
  </si>
  <si>
    <t xml:space="preserve"> Inconsistent blank values — empty notes recorded in multiple different ways</t>
  </si>
  <si>
    <t>Inconsistent nulls will cause issues if Notes column is used for any filtering or categorisation</t>
  </si>
  <si>
    <t xml:space="preserve"> Standardise all variations of blank to a single blank empty cell</t>
  </si>
  <si>
    <t xml:space="preserve"> Pipeline_Value</t>
  </si>
  <si>
    <t>Pipeline value lower than Forecasted_Revenue — no pipeline support for the forecast number</t>
  </si>
  <si>
    <t>Approximately 58 rows affected</t>
  </si>
  <si>
    <t>Pipeline_Value found to be less than 30% of Forecasted_Revenue in same row</t>
  </si>
  <si>
    <t>Indicates rep has submitted a forecast with no deals to support it — a key accuracy risk</t>
  </si>
  <si>
    <t>Flag these rows with a marker column during cleaning — do not delete them</t>
  </si>
  <si>
    <t xml:space="preserve"> Actual_Revenue_Closed / Deal_Count_Closed</t>
  </si>
  <si>
    <t>Missing submissions — some reps have no row at all for certain weeks</t>
  </si>
  <si>
    <t>Approximately 50 to 60 rows missing across Callum Reid and Nathan Griffiths primarily</t>
  </si>
  <si>
    <t>No row exists for these reps for certain weeks — not a blank value but a missing record entirely</t>
  </si>
  <si>
    <t>Missing submissions mean these reps have gaps in their forecast accuracy history which will skew their performance metrics</t>
  </si>
  <si>
    <t>Note the missing weeks in analysis — do not fabricate data to fill gaps</t>
  </si>
  <si>
    <t>Low_Pipeline_Flag</t>
  </si>
  <si>
    <t/>
  </si>
  <si>
    <t>OK</t>
  </si>
  <si>
    <t>FLAG</t>
  </si>
  <si>
    <t>Total_Forecasted</t>
  </si>
  <si>
    <t>Total_Actual</t>
  </si>
  <si>
    <t>Forecast_Accuracy_Pct</t>
  </si>
  <si>
    <t>Bias</t>
  </si>
  <si>
    <t>Total Forecasted £</t>
  </si>
  <si>
    <t>Total Actual Closed £</t>
  </si>
  <si>
    <t>Forecast Accuracy %</t>
  </si>
  <si>
    <t>Average Error %</t>
  </si>
  <si>
    <t>SECTION 3 — QUARTERLY FORECAST ACCURACY SUMMARY</t>
  </si>
  <si>
    <t>Miss Amount £</t>
  </si>
  <si>
    <t>SECTION 4 — PIPELINE SUPPORT ANALYSIS</t>
  </si>
  <si>
    <t>Total rows in dataset</t>
  </si>
  <si>
    <t>Percentage of rows with no pipeline support</t>
  </si>
  <si>
    <t>Total Submissions</t>
  </si>
  <si>
    <t>On Time %</t>
  </si>
  <si>
    <t>Q4 2024 excluded from accuracy calculation — actual revenue not available as quarter had not closed at time of data export</t>
  </si>
  <si>
    <t>Total rows flagged</t>
  </si>
  <si>
    <t>Rep Forecast £</t>
  </si>
  <si>
    <t>Model Forecast £</t>
  </si>
  <si>
    <t>Actual Closed £</t>
  </si>
  <si>
    <t>Rep Accuracy %</t>
  </si>
  <si>
    <t>Model Accuracy %</t>
  </si>
  <si>
    <t>Model Better Than Rep?</t>
  </si>
  <si>
    <t>Model Forecast = Weighted_Pipeline column (column I) — pipeline adjusted by deal stage probability. Rep Forecast = what the rep manually submitted. Actual = what actually closed.</t>
  </si>
  <si>
    <t>SECTION 2 -  SEGMENT FORECAST ACCURACY SUMMARY (Q1 to Q3 2024 only)</t>
  </si>
  <si>
    <r>
      <rPr>
        <b/>
        <sz val="14"/>
        <color theme="0"/>
        <rFont val="Arial"/>
        <family val="2"/>
      </rPr>
      <t>SECTION 5 — WEIGHTED PIPELINE MODEL vs REP FORECAST vs ACTUAL (Q1 to Q3 2024</t>
    </r>
    <r>
      <rPr>
        <b/>
        <sz val="11"/>
        <color theme="0"/>
        <rFont val="Arial"/>
        <family val="2"/>
      </rPr>
      <t>)</t>
    </r>
  </si>
  <si>
    <r>
      <t xml:space="preserve">Section - 1 Forecast Accuracy Summary by Rep  </t>
    </r>
    <r>
      <rPr>
        <b/>
        <sz val="10"/>
        <color theme="0"/>
        <rFont val="Arial"/>
        <family val="2"/>
      </rPr>
      <t>(Q1 to Q3 2024 only — Q4 excluded as quarter not yet closed)</t>
    </r>
  </si>
  <si>
    <t>Notes_Clean2</t>
  </si>
  <si>
    <t>Mertics</t>
  </si>
  <si>
    <t>Value</t>
  </si>
  <si>
    <t>Miss_Amount</t>
  </si>
  <si>
    <t>Weakest_Segment</t>
  </si>
  <si>
    <t xml:space="preserve"> Strongest_Segment</t>
  </si>
  <si>
    <t xml:space="preserve"> Q3_Miss_Amount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</si>
</sst>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b/>
      <sz val="18"/>
      <color theme="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b/>
      <sz val="11"/>
      <color rgb="FF1F3864"/>
      <name val="Arial"/>
      <family val="2"/>
    </font>
    <font>
      <i/>
      <sz val="9"/>
      <color rgb="FF666666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</font>
    <font>
      <b/>
      <i/>
      <sz val="9"/>
      <color rgb="FF666666"/>
      <name val="Arial"/>
      <family val="2"/>
    </font>
    <font>
      <b/>
      <sz val="14"/>
      <color theme="0"/>
      <name val="Arial"/>
      <family val="2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EBF1FA"/>
        <bgColor rgb="FFEBF1FA"/>
      </patternFill>
    </fill>
    <fill>
      <patternFill patternType="solid">
        <fgColor theme="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center"/>
    </xf>
    <xf numFmtId="164" fontId="8" fillId="0" borderId="0" xfId="0" applyNumberFormat="1" applyFont="1"/>
    <xf numFmtId="0" fontId="11" fillId="0" borderId="0" xfId="0" applyFont="1"/>
    <xf numFmtId="0" fontId="12" fillId="0" borderId="0" xfId="0" applyFont="1"/>
    <xf numFmtId="0" fontId="7" fillId="4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7" fillId="3" borderId="0" xfId="0" applyFont="1" applyFill="1"/>
    <xf numFmtId="164" fontId="17" fillId="3" borderId="0" xfId="0" applyNumberFormat="1" applyFont="1" applyFill="1"/>
    <xf numFmtId="0" fontId="17" fillId="0" borderId="0" xfId="0" applyFont="1"/>
    <xf numFmtId="164" fontId="17" fillId="0" borderId="0" xfId="0" applyNumberFormat="1" applyFont="1"/>
    <xf numFmtId="0" fontId="1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52"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BF1FA"/>
          <bgColor rgb="FFEBF1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38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BF1FA"/>
          <bgColor rgb="FFEBF1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38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BF1FA"/>
          <bgColor rgb="FFEBF1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38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z val="9"/>
        <color auto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84EA52-759C-4EC9-AD3C-197CC0D5B334}" autoFormatId="16" applyNumberFormats="0" applyBorderFormats="0" applyFontFormats="0" applyPatternFormats="0" applyAlignmentFormats="0" applyWidthHeightFormats="0">
  <queryTableRefresh nextId="24">
    <queryTableFields count="14">
      <queryTableField id="1" name="Rep_ID" tableColumnId="1"/>
      <queryTableField id="2" name="Rep_Name" tableColumnId="2"/>
      <queryTableField id="3" name="Segment" tableColumnId="3"/>
      <queryTableField id="4" dataBound="0" tableColumnId="4"/>
      <queryTableField id="5" name="Quarter" tableColumnId="5"/>
      <queryTableField id="6" name="Forecasted_Revenue" tableColumnId="6"/>
      <queryTableField id="7" name="Actual_Revenue_Closed" tableColumnId="7"/>
      <queryTableField id="8" name="Pipeline_Value" tableColumnId="8"/>
      <queryTableField id="9" name="Weighted_Pipeline" tableColumnId="9"/>
      <queryTableField id="11" name="Deal_Count_Forecasted" tableColumnId="11"/>
      <queryTableField id="12" name="Deal_Count_Closed" tableColumnId="12"/>
      <queryTableField id="13" name="Forecast_Submitted_On_Time" tableColumnId="13"/>
      <queryTableField id="14" name="Notes" tableColumnId="14"/>
      <queryTableField id="20" name="Low_Pipeline_Flag" tableColumnId="20"/>
    </queryTableFields>
    <queryTableDeletedFields count="10">
      <deletedField name="Week_Ending_Date"/>
      <deletedField name="Column1"/>
      <deletedField name="Stage_Distribution"/>
      <deletedField name="Segment_Clean"/>
      <deletedField name="fORECAST_Submitted_On_Time_Clean"/>
      <deletedField name="Updated_Quater"/>
      <deletedField name="Notes_Clean"/>
      <deletedField name="Forecasted_Revenue_Update"/>
      <deletedField name="Updated_Pipeline_Value"/>
      <deletedField name="Week_Ending_Date_Clea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744A30-D626-4A73-A288-4D63A41EB93B}" name="Table1_1" displayName="Table1_1" ref="A1:N1048576" tableType="queryTable" totalsRowShown="0">
  <autoFilter ref="A1:N1048576" xr:uid="{E5744A30-D626-4A73-A288-4D63A41EB93B}"/>
  <tableColumns count="14">
    <tableColumn id="1" xr3:uid="{01A194B4-98BE-44FE-86A2-F808CE3E62A2}" uniqueName="1" name="Rep_ID" queryTableFieldId="1" dataDxfId="51"/>
    <tableColumn id="2" xr3:uid="{9F9A7978-C3A2-4065-99A8-ED5E43296EDA}" uniqueName="2" name="Rep_Name" queryTableFieldId="2" dataDxfId="50"/>
    <tableColumn id="3" xr3:uid="{3BB93A81-C6C6-4666-B3F8-A6803D0B2762}" uniqueName="3" name="Segment" queryTableFieldId="3" dataDxfId="49"/>
    <tableColumn id="4" xr3:uid="{4A87B2F6-BCEC-4210-90B2-DB7297F1CE2F}" uniqueName="4" name="Week_Ending_Date" queryTableFieldId="4" dataDxfId="48"/>
    <tableColumn id="5" xr3:uid="{FF6257E0-E92D-489E-9C38-1B3B75925E37}" uniqueName="5" name="Quarter" queryTableFieldId="5" dataDxfId="47"/>
    <tableColumn id="6" xr3:uid="{9B37BE6D-4A62-4375-BBF9-31D7B74488B1}" uniqueName="6" name="Forecasted_Revenue" queryTableFieldId="6"/>
    <tableColumn id="7" xr3:uid="{2275AA3F-53EA-43D7-90D4-A85E315EECE5}" uniqueName="7" name="Actual_Revenue_Closed" queryTableFieldId="7"/>
    <tableColumn id="8" xr3:uid="{CBC4E0BD-1729-46BB-AF91-78DC7FB8A6BC}" uniqueName="8" name="Pipeline_Value" queryTableFieldId="8"/>
    <tableColumn id="9" xr3:uid="{09C7E34D-D047-4377-9499-98E0DD6257F1}" uniqueName="9" name="Weighted_Pipeline" queryTableFieldId="9"/>
    <tableColumn id="11" xr3:uid="{EFC75879-E2B4-47B6-83C4-F4E309078EF3}" uniqueName="11" name="Deal_Count_Forecasted" queryTableFieldId="11"/>
    <tableColumn id="12" xr3:uid="{3228AC91-599E-427E-BEC6-D09459F941FB}" uniqueName="12" name="Deal_Count_Closed" queryTableFieldId="12"/>
    <tableColumn id="13" xr3:uid="{33DDCB52-DB98-4A1C-81B8-B6EFAC4A215F}" uniqueName="13" name="Forecast_Submitted_On_Time" queryTableFieldId="13" dataDxfId="46"/>
    <tableColumn id="14" xr3:uid="{B9FD3735-2F1B-477D-9EA0-A33D7365FA16}" uniqueName="14" name="Notes_Clean2" queryTableFieldId="14" dataDxfId="45"/>
    <tableColumn id="20" xr3:uid="{DCBB87CC-5605-4564-AE08-0497509B4AA7}" uniqueName="20" name="Low_Pipeline_Flag" queryTableFieldId="20" dataDxfId="4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FD3FE-23A4-40D6-AF1F-0D3C6FB6FAA9}" name="Email_KPIs" displayName="Email_KPIs" ref="A1:B8" totalsRowShown="0">
  <autoFilter ref="A1:B8" xr:uid="{AA7FD3FE-23A4-40D6-AF1F-0D3C6FB6FAA9}"/>
  <tableColumns count="2">
    <tableColumn id="1" xr3:uid="{D1D137D5-45D8-4CD7-82A7-A2074A57918B}" name="Mertics"/>
    <tableColumn id="2" xr3:uid="{33EDA2C4-E747-4BEE-8080-FF59A344CEB6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B68B668-7CD6-4732-BF4B-F87533A75D10}" name="Table12" displayName="Table12" ref="A3:I23" totalsRowShown="0" headerRowDxfId="43" dataDxfId="42">
  <autoFilter ref="A3:I23" xr:uid="{7B68B668-7CD6-4732-BF4B-F87533A75D10}"/>
  <tableColumns count="9">
    <tableColumn id="1" xr3:uid="{3F139BF7-5AB0-4C80-8D23-504432E80E81}" name="Rep_ID" dataDxfId="41"/>
    <tableColumn id="2" xr3:uid="{58FF29CD-659B-44E1-9EE9-FB41CAF46B96}" name="Rep_Name" dataDxfId="40"/>
    <tableColumn id="3" xr3:uid="{D4F399CB-D1B6-47C8-B0A6-D29FB6E89A9A}" name="Segment" dataDxfId="39"/>
    <tableColumn id="4" xr3:uid="{6230E278-2D73-4698-AD06-773C0C151323}" name="Total_Forecasted" dataDxfId="38">
      <calculatedColumnFormula>SUMIFS(RAW_Forecast_Data!F:F,RAW_Forecast_Data!A:A,A4,RAW_Forecast_Data!E:E,"&lt;&gt;Q4 2024")</calculatedColumnFormula>
    </tableColumn>
    <tableColumn id="5" xr3:uid="{BB2EE6CA-0223-4112-A17C-F610986CF0B3}" name="Total_Actual" dataDxfId="37">
      <calculatedColumnFormula>SUMIFS(RAW_Forecast_Data!G:G,RAW_Forecast_Data!A:A,A4,RAW_Forecast_Data!E:E,"&lt;&gt;Q4 2024")</calculatedColumnFormula>
    </tableColumn>
    <tableColumn id="6" xr3:uid="{7B0F3FC6-D5B4-4B75-80FA-8728EE14BE85}" name="Forecast_Accuracy_Pct" dataDxfId="36">
      <calculatedColumnFormula>IFERROR(1-ABS(D4-E4)/E4,"")</calculatedColumnFormula>
    </tableColumn>
    <tableColumn id="7" xr3:uid="{B2F16D33-FD03-461C-951C-03597C8C0EA5}" name="Bias" dataDxfId="35">
      <calculatedColumnFormula>IF(D4&gt;E4,"Over-Forecaster","Under-Forecaster")</calculatedColumnFormula>
    </tableColumn>
    <tableColumn id="8" xr3:uid="{C1EB2D82-2D11-47DD-8BEA-5BFBCBF3A7DE}" name="Total Submissions" dataDxfId="34">
      <calculatedColumnFormula>COUNTIF(RAW_Forecast_Data!A:A,A4)</calculatedColumnFormula>
    </tableColumn>
    <tableColumn id="9" xr3:uid="{47F672C6-279C-4B12-B53B-09BE57BF3489}" name="On Time %" dataDxfId="33">
      <calculatedColumnFormula>IFERROR(COUNTIFS(RAW_Forecast_Data!A:A,A4,RAW_Forecast_Data!M:M,"Yes")/H4,"")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CA1299-C763-42C7-8700-2786782E2202}" name="Table14" displayName="Table14" ref="A51:I71" totalsRowShown="0" headerRowDxfId="32" dataDxfId="31">
  <autoFilter ref="A51:I71" xr:uid="{33CA1299-C763-42C7-8700-2786782E2202}"/>
  <tableColumns count="9">
    <tableColumn id="1" xr3:uid="{25D5B5AA-AEFB-4B93-9308-2DCD32F6693F}" name="Rep_ID" dataDxfId="30"/>
    <tableColumn id="2" xr3:uid="{80F3439A-2F40-4D02-91AA-AE241B29B363}" name="Rep_Name" dataDxfId="29"/>
    <tableColumn id="3" xr3:uid="{D65E4067-A203-429F-A7A9-260AA0D87D8F}" name="Segment" dataDxfId="28"/>
    <tableColumn id="4" xr3:uid="{FE887802-D543-442E-9E16-FDA27FB046B3}" name="Rep Forecast £" dataDxfId="27">
      <calculatedColumnFormula>SUMIFS(RAW_Forecast_Data!F:F,RAW_Forecast_Data!A:A,A52,RAW_Forecast_Data!E:E,"&lt;&gt;Q4 2024")</calculatedColumnFormula>
    </tableColumn>
    <tableColumn id="5" xr3:uid="{54ACA811-681C-4368-89B5-5CE1F05EEC09}" name="Model Forecast £" dataDxfId="26">
      <calculatedColumnFormula>SUMIFS(RAW_Forecast_Data!I:I,RAW_Forecast_Data!A:A,A52,RAW_Forecast_Data!E:E,"&lt;&gt;Q4 2024")</calculatedColumnFormula>
    </tableColumn>
    <tableColumn id="6" xr3:uid="{11E444C5-D857-46E4-A686-87ABB353901B}" name="Actual Closed £" dataDxfId="25">
      <calculatedColumnFormula>SUMIFS(RAW_Forecast_Data!G:G,RAW_Forecast_Data!A:A,A52,RAW_Forecast_Data!E:E,"&lt;&gt;Q4 2024")</calculatedColumnFormula>
    </tableColumn>
    <tableColumn id="7" xr3:uid="{C362AAA6-A12E-4C27-9E5D-A111948728F1}" name="Rep Accuracy %" dataDxfId="24">
      <calculatedColumnFormula>IFERROR(1-ABS(D52-F52)/F52,"")</calculatedColumnFormula>
    </tableColumn>
    <tableColumn id="8" xr3:uid="{046714DB-7092-403F-B209-942636CB33D1}" name="Model Accuracy %" dataDxfId="23">
      <calculatedColumnFormula>IFERROR(1-ABS(E52-F52)/F52,"")</calculatedColumnFormula>
    </tableColumn>
    <tableColumn id="9" xr3:uid="{2534BCC1-9F98-47E7-A7F4-70823E1B730F}" name="Model Better Than Rep?" dataDxfId="22">
      <calculatedColumnFormula>IF(H52&gt;G52,"Yes — Model Wins","No — Rep Wins")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E723AF-1874-4D6D-9788-ADB5162B7470}" name="Table17" displayName="Table17" ref="A37:E40" totalsRowShown="0" headerRowDxfId="21">
  <autoFilter ref="A37:E40" xr:uid="{32E723AF-1874-4D6D-9788-ADB5162B7470}"/>
  <tableColumns count="5">
    <tableColumn id="1" xr3:uid="{235127D8-8C69-41BE-897E-26E308A11586}" name="Quarter"/>
    <tableColumn id="2" xr3:uid="{7B2AB6DA-7494-4670-91A8-A793A3EFCB9F}" name="Total Forecasted £" dataDxfId="20">
      <calculatedColumnFormula>SUMIFS(RAW_Forecast_Data!F:F,RAW_Forecast_Data!E:E,A38)</calculatedColumnFormula>
    </tableColumn>
    <tableColumn id="3" xr3:uid="{64160EB4-37BC-4608-BB57-876611C8DAAB}" name="Total Actual Closed £" dataDxfId="19">
      <calculatedColumnFormula>SUMIFS(RAW_Forecast_Data!G:G,RAW_Forecast_Data!E:E,A38)</calculatedColumnFormula>
    </tableColumn>
    <tableColumn id="4" xr3:uid="{7CEE86D4-A905-473B-9C17-291DB65C4BFF}" name="Forecast Accuracy %">
      <calculatedColumnFormula>IFERROR(1-ABS(B38-C38)/C38,"")</calculatedColumnFormula>
    </tableColumn>
    <tableColumn id="5" xr3:uid="{4E6FF25B-2DAF-45B0-8FB6-C0C2B82130F9}" name="Miss Amount £">
      <calculatedColumnFormula>IFERROR(B38-C38,"")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8B1A1A1-E208-4A98-AD40-A9AE78CA2F2A}" name="Table18" displayName="Table18" ref="A29:E32" totalsRowShown="0" headerRowDxfId="18">
  <autoFilter ref="A29:E32" xr:uid="{C8B1A1A1-E208-4A98-AD40-A9AE78CA2F2A}"/>
  <tableColumns count="5">
    <tableColumn id="1" xr3:uid="{E3CF40CE-86FA-41D2-96AC-A4D66B795763}" name="Segment"/>
    <tableColumn id="2" xr3:uid="{0CFB8694-CBC6-4AB6-A9E1-1DEBBD919A5D}" name="Total Forecasted £" dataDxfId="17"/>
    <tableColumn id="3" xr3:uid="{2540BB4C-0C38-4EF4-96FA-77EADC0372D0}" name="Total Actual Closed £" dataDxfId="16"/>
    <tableColumn id="4" xr3:uid="{99E9691D-3E70-4A99-B5C6-A4A456456073}" name="Forecast Accuracy %"/>
    <tableColumn id="5" xr3:uid="{D73ABEDE-2961-4B73-AEF3-64B684A4A470}" name="Average Error %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03B20A-B6AA-4CF7-9B33-5BCC007E2623}" name="Table5" displayName="Table5" ref="A1:F15" totalsRowShown="0" headerRowDxfId="15" dataDxfId="14">
  <autoFilter ref="A1:F15" xr:uid="{3203B20A-B6AA-4CF7-9B33-5BCC007E2623}"/>
  <tableColumns count="6">
    <tableColumn id="1" xr3:uid="{70155352-3299-455F-9668-4A5611FD0058}" name="Column_Name" dataDxfId="13"/>
    <tableColumn id="2" xr3:uid="{B564EC19-2547-4C7A-A0D4-0AD9425117C6}" name="Description" dataDxfId="12"/>
    <tableColumn id="3" xr3:uid="{24B50C71-F588-463E-9EC5-C5376A07ED50}" name="Data_Type" dataDxfId="11"/>
    <tableColumn id="4" xr3:uid="{4CE4389B-633B-4512-BA23-A7E95B2C3709}" name="Expected_Format" dataDxfId="10"/>
    <tableColumn id="5" xr3:uid="{10A55F56-87DE-4C21-B19F-ACCB28989A86}" name="Example_Value" dataDxfId="9"/>
    <tableColumn id="6" xr3:uid="{F2116C50-CC46-46D7-B344-748DF45CD1A8}" name="Notes" dataDxfId="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FFA56-B396-44A1-A7DA-FFB490B5071B}" name="Table3" displayName="Table3" ref="A1:F10" totalsRowShown="0" headerRowDxfId="7" dataDxfId="6">
  <autoFilter ref="A1:F10" xr:uid="{521FFA56-B396-44A1-A7DA-FFB490B5071B}"/>
  <tableColumns count="6">
    <tableColumn id="1" xr3:uid="{6C4DE298-E6A3-40D8-820C-B432F12A5EE7}" name="Column_Name" dataDxfId="5"/>
    <tableColumn id="2" xr3:uid="{6DC9CC4D-B6A1-49A6-9004-ACAC2043968F}" name="Issue_Found" dataDxfId="4"/>
    <tableColumn id="3" xr3:uid="{7A5D0799-51A3-469D-B240-0F840FE36F56}" name="Rows_Affected" dataDxfId="3"/>
    <tableColumn id="4" xr3:uid="{C36786A5-C456-498B-A73F-0D713A784647}" name="Example" dataDxfId="2"/>
    <tableColumn id="5" xr3:uid="{AE800ED1-2777-41BA-BE15-34AC4438FCB0}" name="Impact" dataDxfId="1"/>
    <tableColumn id="6" xr3:uid="{BAF2BB87-FA1D-4096-8F11-FC2D0DB6800B}" name="Cleaning_Action_Plann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D883D6-CC30-4C10-A877-5B7C7EBE955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e9a9a96-42c4-4ba0-b6cc-9b5cddcd327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0"/>
  <sheetViews>
    <sheetView workbookViewId="0">
      <selection activeCell="J9" sqref="J9"/>
    </sheetView>
  </sheetViews>
  <sheetFormatPr defaultRowHeight="15" x14ac:dyDescent="0.25"/>
  <cols>
    <col min="1" max="1" width="7.28515625" bestFit="1" customWidth="1"/>
    <col min="2" max="2" width="18" bestFit="1" customWidth="1"/>
    <col min="3" max="3" width="14.140625" bestFit="1" customWidth="1"/>
    <col min="4" max="4" width="18.7109375" bestFit="1" customWidth="1"/>
    <col min="5" max="5" width="12.42578125" bestFit="1" customWidth="1"/>
    <col min="6" max="6" width="19.85546875" bestFit="1" customWidth="1"/>
    <col min="7" max="7" width="22.85546875" bestFit="1" customWidth="1"/>
    <col min="8" max="8" width="14.7109375" bestFit="1" customWidth="1"/>
    <col min="9" max="9" width="18.5703125" bestFit="1" customWidth="1"/>
    <col min="10" max="10" width="48" bestFit="1" customWidth="1"/>
    <col min="11" max="11" width="22.42578125" bestFit="1" customWidth="1"/>
    <col min="12" max="12" width="18.5703125" bestFit="1" customWidth="1"/>
    <col min="13" max="13" width="28.28515625" bestFit="1" customWidth="1"/>
    <col min="14" max="14" width="42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83501.509999999995</v>
      </c>
      <c r="G2">
        <v>80495.839999999997</v>
      </c>
      <c r="H2">
        <v>237882.83</v>
      </c>
      <c r="I2">
        <v>72771.570000000007</v>
      </c>
      <c r="J2" t="s">
        <v>19</v>
      </c>
      <c r="K2">
        <v>5</v>
      </c>
      <c r="L2">
        <v>4</v>
      </c>
      <c r="M2" t="s">
        <v>20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24</v>
      </c>
      <c r="F3">
        <v>101890.04</v>
      </c>
      <c r="G3">
        <v>187730.93</v>
      </c>
      <c r="H3">
        <v>432558.75</v>
      </c>
      <c r="I3">
        <v>89293.759999999995</v>
      </c>
      <c r="J3" t="s">
        <v>25</v>
      </c>
      <c r="K3">
        <v>3</v>
      </c>
      <c r="L3">
        <v>3</v>
      </c>
      <c r="M3" t="s">
        <v>20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17</v>
      </c>
      <c r="E4" t="s">
        <v>18</v>
      </c>
      <c r="F4">
        <v>196116.65</v>
      </c>
      <c r="G4">
        <v>199835.64</v>
      </c>
      <c r="H4">
        <v>773362.56</v>
      </c>
      <c r="I4">
        <v>145229.87</v>
      </c>
      <c r="J4" t="s">
        <v>19</v>
      </c>
      <c r="K4">
        <v>2</v>
      </c>
      <c r="L4">
        <v>6</v>
      </c>
      <c r="M4" t="s">
        <v>30</v>
      </c>
      <c r="N4" t="s">
        <v>31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18</v>
      </c>
      <c r="F5">
        <v>175696.67</v>
      </c>
      <c r="G5">
        <v>163648.17000000001</v>
      </c>
      <c r="H5">
        <v>673858.18</v>
      </c>
      <c r="I5">
        <v>174249.1</v>
      </c>
      <c r="J5" t="s">
        <v>36</v>
      </c>
      <c r="K5">
        <v>3</v>
      </c>
      <c r="L5">
        <v>3</v>
      </c>
      <c r="M5" t="s">
        <v>37</v>
      </c>
      <c r="N5" t="s">
        <v>38</v>
      </c>
    </row>
    <row r="6" spans="1:14" x14ac:dyDescent="0.25">
      <c r="A6" t="s">
        <v>39</v>
      </c>
      <c r="B6" t="s">
        <v>40</v>
      </c>
      <c r="C6" t="s">
        <v>29</v>
      </c>
      <c r="D6" t="s">
        <v>35</v>
      </c>
      <c r="E6" t="s">
        <v>24</v>
      </c>
      <c r="F6">
        <v>109537.60000000001</v>
      </c>
      <c r="G6">
        <v>117300.04</v>
      </c>
      <c r="H6">
        <v>332070.5</v>
      </c>
      <c r="I6">
        <v>109714.81</v>
      </c>
      <c r="J6" t="s">
        <v>41</v>
      </c>
      <c r="K6">
        <v>6</v>
      </c>
      <c r="L6">
        <v>6</v>
      </c>
      <c r="M6" t="s">
        <v>42</v>
      </c>
      <c r="N6" t="s">
        <v>43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18</v>
      </c>
      <c r="F7">
        <v>92727.32</v>
      </c>
      <c r="G7">
        <v>86008.17</v>
      </c>
      <c r="H7" t="s">
        <v>48</v>
      </c>
      <c r="I7">
        <v>79020.88</v>
      </c>
      <c r="J7" t="s">
        <v>19</v>
      </c>
      <c r="K7">
        <v>5</v>
      </c>
      <c r="L7">
        <v>2</v>
      </c>
      <c r="M7" t="s">
        <v>20</v>
      </c>
    </row>
    <row r="8" spans="1:14" x14ac:dyDescent="0.25">
      <c r="A8" t="s">
        <v>49</v>
      </c>
      <c r="B8" t="s">
        <v>50</v>
      </c>
      <c r="C8" t="s">
        <v>51</v>
      </c>
      <c r="D8" t="s">
        <v>52</v>
      </c>
      <c r="E8" t="s">
        <v>24</v>
      </c>
      <c r="F8">
        <v>58658.74</v>
      </c>
      <c r="G8">
        <v>93144.86</v>
      </c>
      <c r="H8">
        <v>286520.93</v>
      </c>
      <c r="I8">
        <v>64403.07</v>
      </c>
      <c r="J8" t="s">
        <v>53</v>
      </c>
      <c r="K8">
        <v>5</v>
      </c>
      <c r="L8">
        <v>1</v>
      </c>
      <c r="M8" t="s">
        <v>54</v>
      </c>
    </row>
    <row r="9" spans="1:14" x14ac:dyDescent="0.25">
      <c r="A9" t="s">
        <v>55</v>
      </c>
      <c r="B9" t="s">
        <v>56</v>
      </c>
      <c r="C9" t="s">
        <v>57</v>
      </c>
      <c r="D9" t="s">
        <v>17</v>
      </c>
      <c r="E9" t="s">
        <v>18</v>
      </c>
      <c r="F9">
        <v>65936.679999999993</v>
      </c>
      <c r="G9">
        <v>65711.28</v>
      </c>
      <c r="H9">
        <v>317995.87</v>
      </c>
      <c r="I9">
        <v>102198.51</v>
      </c>
      <c r="J9" t="s">
        <v>41</v>
      </c>
      <c r="K9">
        <v>3</v>
      </c>
      <c r="L9">
        <v>2</v>
      </c>
      <c r="M9" t="s">
        <v>58</v>
      </c>
    </row>
    <row r="10" spans="1:14" x14ac:dyDescent="0.25">
      <c r="A10" t="s">
        <v>59</v>
      </c>
      <c r="B10" t="s">
        <v>60</v>
      </c>
      <c r="C10" t="s">
        <v>61</v>
      </c>
      <c r="D10" t="s">
        <v>17</v>
      </c>
      <c r="E10" t="s">
        <v>18</v>
      </c>
      <c r="F10">
        <v>543030</v>
      </c>
      <c r="G10">
        <v>30943.06</v>
      </c>
      <c r="H10">
        <v>2325305</v>
      </c>
      <c r="I10">
        <v>68408.929999999993</v>
      </c>
      <c r="J10" t="s">
        <v>41</v>
      </c>
      <c r="K10">
        <v>3</v>
      </c>
      <c r="L10">
        <v>4</v>
      </c>
      <c r="M10" t="s">
        <v>54</v>
      </c>
      <c r="N10" t="s">
        <v>26</v>
      </c>
    </row>
    <row r="11" spans="1:14" x14ac:dyDescent="0.25">
      <c r="A11" t="s">
        <v>62</v>
      </c>
      <c r="B11" t="s">
        <v>63</v>
      </c>
      <c r="C11" t="s">
        <v>57</v>
      </c>
      <c r="D11" t="s">
        <v>47</v>
      </c>
      <c r="E11" t="s">
        <v>18</v>
      </c>
      <c r="F11">
        <v>81578.12</v>
      </c>
      <c r="G11">
        <v>71075.53</v>
      </c>
      <c r="H11">
        <v>260739.44</v>
      </c>
      <c r="I11">
        <v>70835.02</v>
      </c>
      <c r="J11" t="s">
        <v>36</v>
      </c>
      <c r="K11">
        <v>6</v>
      </c>
      <c r="L11">
        <v>4</v>
      </c>
      <c r="M11" t="s">
        <v>64</v>
      </c>
      <c r="N11" t="s">
        <v>65</v>
      </c>
    </row>
    <row r="12" spans="1:14" x14ac:dyDescent="0.25">
      <c r="A12" t="s">
        <v>66</v>
      </c>
      <c r="B12" t="s">
        <v>67</v>
      </c>
      <c r="C12" t="s">
        <v>57</v>
      </c>
      <c r="D12" t="s">
        <v>47</v>
      </c>
      <c r="E12" t="s">
        <v>18</v>
      </c>
      <c r="F12">
        <v>81830.2</v>
      </c>
      <c r="G12">
        <v>70885.53</v>
      </c>
      <c r="H12">
        <v>216975.38</v>
      </c>
      <c r="I12">
        <v>68586.080000000002</v>
      </c>
      <c r="J12" t="s">
        <v>53</v>
      </c>
      <c r="K12">
        <v>1</v>
      </c>
      <c r="L12">
        <v>2</v>
      </c>
      <c r="M12" t="s">
        <v>58</v>
      </c>
    </row>
    <row r="13" spans="1:14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>
        <v>69128.69</v>
      </c>
      <c r="G13">
        <v>69970.429999999993</v>
      </c>
      <c r="H13">
        <v>340285.35</v>
      </c>
      <c r="I13">
        <v>110347.15</v>
      </c>
      <c r="J13" t="s">
        <v>25</v>
      </c>
      <c r="K13">
        <v>2</v>
      </c>
      <c r="L13">
        <v>1</v>
      </c>
      <c r="M13" t="s">
        <v>20</v>
      </c>
      <c r="N13" t="s">
        <v>73</v>
      </c>
    </row>
    <row r="14" spans="1:14" x14ac:dyDescent="0.25">
      <c r="A14" t="s">
        <v>74</v>
      </c>
      <c r="B14" t="s">
        <v>75</v>
      </c>
      <c r="C14" t="s">
        <v>76</v>
      </c>
      <c r="D14" t="s">
        <v>23</v>
      </c>
      <c r="E14" t="s">
        <v>18</v>
      </c>
      <c r="F14">
        <v>87439.06</v>
      </c>
      <c r="G14">
        <v>100434.85</v>
      </c>
      <c r="H14">
        <v>252435.87</v>
      </c>
      <c r="I14">
        <v>87009.74</v>
      </c>
      <c r="J14" t="s">
        <v>77</v>
      </c>
      <c r="K14">
        <v>5</v>
      </c>
      <c r="L14">
        <v>8</v>
      </c>
      <c r="M14" t="s">
        <v>30</v>
      </c>
      <c r="N14" t="s">
        <v>26</v>
      </c>
    </row>
    <row r="15" spans="1:14" x14ac:dyDescent="0.25">
      <c r="A15" t="s">
        <v>78</v>
      </c>
      <c r="B15" t="s">
        <v>79</v>
      </c>
      <c r="C15" t="s">
        <v>80</v>
      </c>
      <c r="D15" t="s">
        <v>17</v>
      </c>
      <c r="E15" t="s">
        <v>18</v>
      </c>
      <c r="F15">
        <v>9850.08</v>
      </c>
      <c r="G15">
        <v>7722.27</v>
      </c>
      <c r="H15">
        <v>30417.13</v>
      </c>
      <c r="I15">
        <v>10078.68</v>
      </c>
      <c r="J15" t="s">
        <v>19</v>
      </c>
      <c r="K15">
        <v>5</v>
      </c>
      <c r="L15">
        <v>15</v>
      </c>
      <c r="M15" t="s">
        <v>30</v>
      </c>
      <c r="N15" t="s">
        <v>81</v>
      </c>
    </row>
    <row r="16" spans="1:14" x14ac:dyDescent="0.25">
      <c r="A16" t="s">
        <v>82</v>
      </c>
      <c r="B16" t="s">
        <v>83</v>
      </c>
      <c r="C16" t="s">
        <v>80</v>
      </c>
      <c r="D16" t="s">
        <v>52</v>
      </c>
      <c r="E16" t="s">
        <v>18</v>
      </c>
      <c r="F16">
        <v>24852.66</v>
      </c>
      <c r="G16">
        <v>12914.1</v>
      </c>
      <c r="H16">
        <v>4330.13</v>
      </c>
      <c r="I16">
        <v>1193.8499999999999</v>
      </c>
      <c r="J16" t="s">
        <v>25</v>
      </c>
      <c r="K16">
        <v>3</v>
      </c>
      <c r="L16">
        <v>14</v>
      </c>
      <c r="M16" t="s">
        <v>58</v>
      </c>
    </row>
    <row r="17" spans="1:14" x14ac:dyDescent="0.25">
      <c r="A17" t="s">
        <v>84</v>
      </c>
      <c r="B17" t="s">
        <v>85</v>
      </c>
      <c r="C17" t="s">
        <v>86</v>
      </c>
      <c r="D17" t="s">
        <v>17</v>
      </c>
      <c r="E17" t="s">
        <v>24</v>
      </c>
      <c r="F17">
        <v>24515.3</v>
      </c>
      <c r="G17">
        <v>30487.63</v>
      </c>
      <c r="H17">
        <v>93706.1</v>
      </c>
      <c r="I17">
        <v>25701.93</v>
      </c>
      <c r="J17" t="s">
        <v>19</v>
      </c>
      <c r="K17">
        <v>12</v>
      </c>
      <c r="L17">
        <v>12</v>
      </c>
      <c r="M17" t="s">
        <v>58</v>
      </c>
      <c r="N17" t="s">
        <v>31</v>
      </c>
    </row>
    <row r="18" spans="1:14" x14ac:dyDescent="0.25">
      <c r="A18" t="s">
        <v>87</v>
      </c>
      <c r="B18" t="s">
        <v>88</v>
      </c>
      <c r="C18" t="s">
        <v>89</v>
      </c>
      <c r="D18" t="s">
        <v>52</v>
      </c>
      <c r="E18" t="s">
        <v>18</v>
      </c>
      <c r="F18">
        <v>14780.27</v>
      </c>
      <c r="G18">
        <v>17796.63</v>
      </c>
      <c r="H18">
        <v>40361.18</v>
      </c>
      <c r="I18">
        <v>9163.43</v>
      </c>
      <c r="J18" t="s">
        <v>19</v>
      </c>
      <c r="K18">
        <v>2</v>
      </c>
      <c r="L18">
        <v>2</v>
      </c>
      <c r="M18" t="s">
        <v>58</v>
      </c>
      <c r="N18" t="s">
        <v>43</v>
      </c>
    </row>
    <row r="19" spans="1:14" x14ac:dyDescent="0.25">
      <c r="A19" t="s">
        <v>90</v>
      </c>
      <c r="B19" t="s">
        <v>91</v>
      </c>
      <c r="C19" t="s">
        <v>89</v>
      </c>
      <c r="D19" t="s">
        <v>35</v>
      </c>
      <c r="E19" t="s">
        <v>18</v>
      </c>
      <c r="F19">
        <v>30534.07</v>
      </c>
      <c r="G19">
        <v>31793.74</v>
      </c>
      <c r="H19">
        <v>3753.56</v>
      </c>
      <c r="I19">
        <v>1271.05</v>
      </c>
      <c r="J19" t="s">
        <v>19</v>
      </c>
      <c r="K19">
        <v>2</v>
      </c>
      <c r="L19">
        <v>4</v>
      </c>
      <c r="M19" t="s">
        <v>92</v>
      </c>
      <c r="N19" t="s">
        <v>43</v>
      </c>
    </row>
    <row r="20" spans="1:14" x14ac:dyDescent="0.25">
      <c r="A20" t="s">
        <v>93</v>
      </c>
      <c r="B20" t="s">
        <v>94</v>
      </c>
      <c r="C20" t="s">
        <v>86</v>
      </c>
      <c r="D20" t="s">
        <v>17</v>
      </c>
      <c r="E20" t="s">
        <v>18</v>
      </c>
      <c r="F20">
        <v>19860.669999999998</v>
      </c>
      <c r="G20">
        <v>9686</v>
      </c>
      <c r="H20">
        <v>50882.36</v>
      </c>
      <c r="I20">
        <v>12032.23</v>
      </c>
      <c r="J20" t="s">
        <v>25</v>
      </c>
      <c r="K20">
        <v>8</v>
      </c>
      <c r="L20">
        <v>8</v>
      </c>
      <c r="M20" t="s">
        <v>58</v>
      </c>
      <c r="N20" t="s">
        <v>95</v>
      </c>
    </row>
    <row r="21" spans="1:14" x14ac:dyDescent="0.25">
      <c r="A21" t="s">
        <v>96</v>
      </c>
      <c r="B21" t="s">
        <v>97</v>
      </c>
      <c r="C21" t="s">
        <v>86</v>
      </c>
      <c r="D21" t="s">
        <v>71</v>
      </c>
      <c r="E21" t="s">
        <v>18</v>
      </c>
      <c r="F21">
        <v>29474.33</v>
      </c>
      <c r="G21">
        <v>25459.86</v>
      </c>
      <c r="H21" t="s">
        <v>98</v>
      </c>
      <c r="I21">
        <v>27811.19</v>
      </c>
      <c r="J21" t="s">
        <v>41</v>
      </c>
      <c r="K21">
        <v>3</v>
      </c>
      <c r="L21">
        <v>2</v>
      </c>
      <c r="M21" t="s">
        <v>99</v>
      </c>
    </row>
    <row r="22" spans="1:14" x14ac:dyDescent="0.25">
      <c r="A22" t="s">
        <v>14</v>
      </c>
      <c r="B22" t="s">
        <v>15</v>
      </c>
      <c r="C22" t="s">
        <v>29</v>
      </c>
      <c r="D22" t="s">
        <v>100</v>
      </c>
      <c r="E22" t="s">
        <v>18</v>
      </c>
      <c r="F22">
        <v>117165.29</v>
      </c>
      <c r="G22">
        <v>109824.23</v>
      </c>
      <c r="H22">
        <v>394169.55</v>
      </c>
      <c r="I22">
        <v>100192.76</v>
      </c>
      <c r="J22" t="s">
        <v>19</v>
      </c>
      <c r="K22">
        <v>5</v>
      </c>
      <c r="L22">
        <v>7</v>
      </c>
      <c r="M22" t="s">
        <v>54</v>
      </c>
      <c r="N22" t="s">
        <v>101</v>
      </c>
    </row>
    <row r="23" spans="1:14" x14ac:dyDescent="0.25">
      <c r="A23" t="s">
        <v>21</v>
      </c>
      <c r="B23" t="s">
        <v>22</v>
      </c>
      <c r="C23" t="s">
        <v>46</v>
      </c>
      <c r="D23" t="s">
        <v>102</v>
      </c>
      <c r="E23" t="s">
        <v>18</v>
      </c>
      <c r="F23">
        <v>68871.990000000005</v>
      </c>
      <c r="G23">
        <v>111983.87</v>
      </c>
      <c r="H23">
        <v>296107.25</v>
      </c>
      <c r="I23">
        <v>68868.149999999994</v>
      </c>
      <c r="J23" t="s">
        <v>77</v>
      </c>
      <c r="K23">
        <v>4</v>
      </c>
      <c r="L23">
        <v>2</v>
      </c>
      <c r="M23" t="s">
        <v>42</v>
      </c>
      <c r="N23" t="s">
        <v>73</v>
      </c>
    </row>
    <row r="24" spans="1:14" x14ac:dyDescent="0.25">
      <c r="A24" t="s">
        <v>27</v>
      </c>
      <c r="B24" t="s">
        <v>28</v>
      </c>
      <c r="C24" t="s">
        <v>46</v>
      </c>
      <c r="D24" t="s">
        <v>103</v>
      </c>
      <c r="E24" t="s">
        <v>72</v>
      </c>
      <c r="F24">
        <v>196721.52</v>
      </c>
      <c r="G24">
        <v>190548.4</v>
      </c>
      <c r="H24">
        <v>703224.44</v>
      </c>
      <c r="I24">
        <v>204849.25</v>
      </c>
      <c r="J24" t="s">
        <v>104</v>
      </c>
      <c r="K24">
        <v>4</v>
      </c>
      <c r="L24">
        <v>4</v>
      </c>
      <c r="M24" t="s">
        <v>58</v>
      </c>
      <c r="N24" t="s">
        <v>105</v>
      </c>
    </row>
    <row r="25" spans="1:14" x14ac:dyDescent="0.25">
      <c r="A25" t="s">
        <v>32</v>
      </c>
      <c r="B25" t="s">
        <v>33</v>
      </c>
      <c r="C25" t="s">
        <v>29</v>
      </c>
      <c r="D25" t="s">
        <v>106</v>
      </c>
      <c r="E25" t="s">
        <v>18</v>
      </c>
      <c r="F25">
        <v>111449.69</v>
      </c>
      <c r="G25">
        <v>106084.59</v>
      </c>
      <c r="H25" t="s">
        <v>107</v>
      </c>
      <c r="I25">
        <v>82761.820000000007</v>
      </c>
      <c r="J25" t="s">
        <v>53</v>
      </c>
      <c r="K25">
        <v>1</v>
      </c>
      <c r="L25">
        <v>1</v>
      </c>
      <c r="M25" t="s">
        <v>54</v>
      </c>
      <c r="N25" t="s">
        <v>65</v>
      </c>
    </row>
    <row r="26" spans="1:14" x14ac:dyDescent="0.25">
      <c r="A26" t="s">
        <v>39</v>
      </c>
      <c r="B26" t="s">
        <v>40</v>
      </c>
      <c r="C26" t="s">
        <v>34</v>
      </c>
      <c r="D26" t="s">
        <v>108</v>
      </c>
      <c r="E26" t="s">
        <v>109</v>
      </c>
      <c r="F26">
        <v>192575.38</v>
      </c>
      <c r="G26">
        <v>198611.83</v>
      </c>
      <c r="H26">
        <v>505615.51</v>
      </c>
      <c r="I26">
        <v>163929.23000000001</v>
      </c>
      <c r="J26" t="s">
        <v>77</v>
      </c>
      <c r="K26">
        <v>4</v>
      </c>
      <c r="L26">
        <v>8</v>
      </c>
      <c r="M26" t="s">
        <v>20</v>
      </c>
      <c r="N26" t="s">
        <v>110</v>
      </c>
    </row>
    <row r="27" spans="1:14" x14ac:dyDescent="0.25">
      <c r="A27" t="s">
        <v>44</v>
      </c>
      <c r="B27" t="s">
        <v>45</v>
      </c>
      <c r="C27" t="s">
        <v>111</v>
      </c>
      <c r="D27" t="s">
        <v>103</v>
      </c>
      <c r="E27" t="s">
        <v>18</v>
      </c>
      <c r="F27">
        <v>184111.76</v>
      </c>
      <c r="G27">
        <v>183365.72</v>
      </c>
      <c r="H27">
        <v>806306.78</v>
      </c>
      <c r="I27">
        <v>183146.88</v>
      </c>
      <c r="J27" t="s">
        <v>41</v>
      </c>
      <c r="K27">
        <v>5</v>
      </c>
      <c r="L27">
        <v>5</v>
      </c>
      <c r="M27" t="s">
        <v>58</v>
      </c>
      <c r="N27" t="s">
        <v>43</v>
      </c>
    </row>
    <row r="28" spans="1:14" x14ac:dyDescent="0.25">
      <c r="A28" t="s">
        <v>49</v>
      </c>
      <c r="B28" t="s">
        <v>50</v>
      </c>
      <c r="C28" t="s">
        <v>57</v>
      </c>
      <c r="D28" t="s">
        <v>106</v>
      </c>
      <c r="E28" t="s">
        <v>18</v>
      </c>
      <c r="F28">
        <v>56849.47</v>
      </c>
      <c r="G28">
        <v>90344.27</v>
      </c>
      <c r="H28">
        <v>201215.05</v>
      </c>
      <c r="I28">
        <v>50590.37</v>
      </c>
      <c r="J28" t="s">
        <v>53</v>
      </c>
      <c r="K28">
        <v>5</v>
      </c>
      <c r="L28">
        <v>8</v>
      </c>
      <c r="M28" t="s">
        <v>112</v>
      </c>
      <c r="N28" t="s">
        <v>65</v>
      </c>
    </row>
    <row r="29" spans="1:14" x14ac:dyDescent="0.25">
      <c r="A29" t="s">
        <v>55</v>
      </c>
      <c r="B29" t="s">
        <v>56</v>
      </c>
      <c r="C29" t="s">
        <v>76</v>
      </c>
      <c r="D29" t="s">
        <v>102</v>
      </c>
      <c r="E29" t="s">
        <v>72</v>
      </c>
      <c r="F29">
        <v>74078.039999999994</v>
      </c>
      <c r="G29">
        <v>80742.14</v>
      </c>
      <c r="H29">
        <v>275612.82</v>
      </c>
      <c r="I29">
        <v>72364.66</v>
      </c>
      <c r="J29" t="s">
        <v>19</v>
      </c>
      <c r="K29">
        <v>4</v>
      </c>
      <c r="L29">
        <v>4</v>
      </c>
      <c r="M29" t="s">
        <v>20</v>
      </c>
      <c r="N29" t="s">
        <v>113</v>
      </c>
    </row>
    <row r="30" spans="1:14" x14ac:dyDescent="0.25">
      <c r="A30" t="s">
        <v>59</v>
      </c>
      <c r="B30" t="s">
        <v>60</v>
      </c>
      <c r="C30" t="s">
        <v>114</v>
      </c>
      <c r="D30" t="s">
        <v>102</v>
      </c>
      <c r="E30" t="s">
        <v>18</v>
      </c>
      <c r="F30">
        <v>73444.33</v>
      </c>
      <c r="G30">
        <v>38100.26</v>
      </c>
      <c r="H30">
        <v>222473.95</v>
      </c>
      <c r="I30">
        <v>68835.45</v>
      </c>
      <c r="J30" t="s">
        <v>104</v>
      </c>
      <c r="K30">
        <v>4</v>
      </c>
      <c r="L30">
        <v>6</v>
      </c>
      <c r="M30" t="s">
        <v>20</v>
      </c>
      <c r="N30" t="s">
        <v>115</v>
      </c>
    </row>
    <row r="31" spans="1:14" x14ac:dyDescent="0.25">
      <c r="A31" t="s">
        <v>62</v>
      </c>
      <c r="B31" t="s">
        <v>63</v>
      </c>
      <c r="C31" t="s">
        <v>61</v>
      </c>
      <c r="D31" t="s">
        <v>100</v>
      </c>
      <c r="E31" t="s">
        <v>72</v>
      </c>
      <c r="F31">
        <v>86976.7</v>
      </c>
      <c r="G31">
        <v>79132.12</v>
      </c>
      <c r="H31">
        <v>352546.08</v>
      </c>
      <c r="I31">
        <v>91840.15</v>
      </c>
      <c r="J31" t="s">
        <v>41</v>
      </c>
      <c r="K31">
        <v>1</v>
      </c>
      <c r="L31">
        <v>1</v>
      </c>
      <c r="M31" t="s">
        <v>58</v>
      </c>
      <c r="N31" t="s">
        <v>73</v>
      </c>
    </row>
    <row r="32" spans="1:14" x14ac:dyDescent="0.25">
      <c r="A32" t="s">
        <v>74</v>
      </c>
      <c r="B32" t="s">
        <v>75</v>
      </c>
      <c r="C32" t="s">
        <v>76</v>
      </c>
      <c r="D32" t="s">
        <v>102</v>
      </c>
      <c r="E32" t="s">
        <v>24</v>
      </c>
      <c r="F32">
        <v>70640.84</v>
      </c>
      <c r="G32">
        <v>80350.55</v>
      </c>
      <c r="H32">
        <v>342867.77</v>
      </c>
      <c r="I32">
        <v>96228.12</v>
      </c>
      <c r="J32" t="s">
        <v>77</v>
      </c>
      <c r="K32">
        <v>6</v>
      </c>
      <c r="L32">
        <v>7</v>
      </c>
      <c r="M32" t="s">
        <v>42</v>
      </c>
      <c r="N32" t="s">
        <v>81</v>
      </c>
    </row>
    <row r="33" spans="1:14" x14ac:dyDescent="0.25">
      <c r="A33" t="s">
        <v>82</v>
      </c>
      <c r="B33" t="s">
        <v>83</v>
      </c>
      <c r="C33" t="s">
        <v>116</v>
      </c>
      <c r="D33" t="s">
        <v>103</v>
      </c>
      <c r="E33" t="s">
        <v>18</v>
      </c>
      <c r="F33">
        <v>28375.200000000001</v>
      </c>
      <c r="G33">
        <v>16264.33</v>
      </c>
      <c r="H33">
        <v>121113.07</v>
      </c>
      <c r="I33">
        <v>36908.629999999997</v>
      </c>
      <c r="J33" t="s">
        <v>104</v>
      </c>
      <c r="K33">
        <v>12</v>
      </c>
      <c r="L33">
        <v>9</v>
      </c>
      <c r="M33" t="s">
        <v>54</v>
      </c>
      <c r="N33" t="s">
        <v>31</v>
      </c>
    </row>
    <row r="34" spans="1:14" x14ac:dyDescent="0.25">
      <c r="A34" t="s">
        <v>84</v>
      </c>
      <c r="B34" t="s">
        <v>85</v>
      </c>
      <c r="C34" t="s">
        <v>86</v>
      </c>
      <c r="D34" t="s">
        <v>100</v>
      </c>
      <c r="E34" t="s">
        <v>18</v>
      </c>
      <c r="F34">
        <v>14584.31</v>
      </c>
      <c r="G34">
        <v>14326.96</v>
      </c>
      <c r="H34">
        <v>610823</v>
      </c>
      <c r="I34">
        <v>16059.35</v>
      </c>
      <c r="J34" t="s">
        <v>41</v>
      </c>
      <c r="K34">
        <v>7</v>
      </c>
      <c r="L34">
        <v>11</v>
      </c>
      <c r="M34" t="s">
        <v>58</v>
      </c>
      <c r="N34" t="s">
        <v>65</v>
      </c>
    </row>
    <row r="35" spans="1:14" x14ac:dyDescent="0.25">
      <c r="A35" t="s">
        <v>87</v>
      </c>
      <c r="B35" t="s">
        <v>88</v>
      </c>
      <c r="C35" t="s">
        <v>86</v>
      </c>
      <c r="D35" t="s">
        <v>108</v>
      </c>
      <c r="E35" t="s">
        <v>18</v>
      </c>
      <c r="F35">
        <v>28470.45</v>
      </c>
      <c r="G35">
        <v>31183.81</v>
      </c>
      <c r="H35">
        <v>121842.29</v>
      </c>
      <c r="I35">
        <v>22288.78</v>
      </c>
      <c r="J35" t="s">
        <v>19</v>
      </c>
      <c r="K35">
        <v>6</v>
      </c>
      <c r="L35">
        <v>12</v>
      </c>
      <c r="M35" t="s">
        <v>58</v>
      </c>
      <c r="N35" t="s">
        <v>110</v>
      </c>
    </row>
    <row r="36" spans="1:14" x14ac:dyDescent="0.25">
      <c r="A36" t="s">
        <v>90</v>
      </c>
      <c r="B36" t="s">
        <v>91</v>
      </c>
      <c r="C36" t="s">
        <v>86</v>
      </c>
      <c r="D36" t="s">
        <v>100</v>
      </c>
      <c r="E36" t="s">
        <v>72</v>
      </c>
      <c r="F36">
        <v>14787.9</v>
      </c>
      <c r="G36">
        <v>11983.05</v>
      </c>
      <c r="H36">
        <v>48635.48</v>
      </c>
      <c r="I36">
        <v>16616.27</v>
      </c>
      <c r="J36" t="s">
        <v>41</v>
      </c>
      <c r="K36">
        <v>4</v>
      </c>
      <c r="L36">
        <v>5</v>
      </c>
      <c r="M36" t="s">
        <v>20</v>
      </c>
      <c r="N36" t="s">
        <v>31</v>
      </c>
    </row>
    <row r="37" spans="1:14" x14ac:dyDescent="0.25">
      <c r="A37" t="s">
        <v>96</v>
      </c>
      <c r="B37" t="s">
        <v>97</v>
      </c>
      <c r="C37" t="s">
        <v>116</v>
      </c>
      <c r="D37" t="s">
        <v>108</v>
      </c>
      <c r="E37" t="s">
        <v>18</v>
      </c>
      <c r="F37">
        <v>15887.69</v>
      </c>
      <c r="G37">
        <v>19415.47</v>
      </c>
      <c r="H37">
        <v>74213.83</v>
      </c>
      <c r="I37">
        <v>24369.03</v>
      </c>
      <c r="J37" t="s">
        <v>25</v>
      </c>
      <c r="K37">
        <v>11</v>
      </c>
      <c r="L37">
        <v>12</v>
      </c>
      <c r="M37" t="s">
        <v>20</v>
      </c>
    </row>
    <row r="38" spans="1:14" x14ac:dyDescent="0.25">
      <c r="A38" t="s">
        <v>14</v>
      </c>
      <c r="B38" t="s">
        <v>15</v>
      </c>
      <c r="C38" t="s">
        <v>46</v>
      </c>
      <c r="D38" t="s">
        <v>117</v>
      </c>
      <c r="E38" t="s">
        <v>109</v>
      </c>
      <c r="F38">
        <v>168122.4</v>
      </c>
      <c r="G38">
        <v>156114.67000000001</v>
      </c>
      <c r="H38">
        <v>761233.88</v>
      </c>
      <c r="I38">
        <v>148045.34</v>
      </c>
      <c r="J38" t="s">
        <v>36</v>
      </c>
      <c r="K38">
        <v>2</v>
      </c>
      <c r="L38">
        <v>3</v>
      </c>
      <c r="M38" t="s">
        <v>20</v>
      </c>
    </row>
    <row r="39" spans="1:14" x14ac:dyDescent="0.25">
      <c r="A39" t="s">
        <v>21</v>
      </c>
      <c r="B39" t="s">
        <v>22</v>
      </c>
      <c r="C39" t="s">
        <v>118</v>
      </c>
      <c r="D39" t="s">
        <v>119</v>
      </c>
      <c r="E39" t="s">
        <v>18</v>
      </c>
      <c r="F39">
        <v>116610.42</v>
      </c>
      <c r="G39">
        <v>203571.6</v>
      </c>
      <c r="H39">
        <v>368677.28</v>
      </c>
      <c r="I39">
        <v>81395.490000000005</v>
      </c>
      <c r="J39" t="s">
        <v>53</v>
      </c>
      <c r="K39">
        <v>5</v>
      </c>
      <c r="L39">
        <v>4</v>
      </c>
      <c r="M39" t="s">
        <v>30</v>
      </c>
      <c r="N39" t="s">
        <v>110</v>
      </c>
    </row>
    <row r="40" spans="1:14" x14ac:dyDescent="0.25">
      <c r="A40" t="s">
        <v>27</v>
      </c>
      <c r="B40" t="s">
        <v>28</v>
      </c>
      <c r="C40" t="s">
        <v>16</v>
      </c>
      <c r="D40" t="s">
        <v>120</v>
      </c>
      <c r="E40" t="s">
        <v>24</v>
      </c>
      <c r="F40">
        <v>112679.33</v>
      </c>
      <c r="G40">
        <v>108434.56</v>
      </c>
      <c r="H40">
        <v>401459.27</v>
      </c>
      <c r="I40">
        <v>116462.49</v>
      </c>
      <c r="J40" t="s">
        <v>19</v>
      </c>
      <c r="K40">
        <v>3</v>
      </c>
      <c r="L40">
        <v>4</v>
      </c>
      <c r="M40" t="s">
        <v>30</v>
      </c>
      <c r="N40" t="s">
        <v>73</v>
      </c>
    </row>
    <row r="41" spans="1:14" x14ac:dyDescent="0.25">
      <c r="A41" t="s">
        <v>32</v>
      </c>
      <c r="B41" t="s">
        <v>33</v>
      </c>
      <c r="C41" t="s">
        <v>16</v>
      </c>
      <c r="D41" t="s">
        <v>120</v>
      </c>
      <c r="E41" t="s">
        <v>18</v>
      </c>
      <c r="F41">
        <v>211974.67</v>
      </c>
      <c r="G41">
        <v>211990.69</v>
      </c>
      <c r="H41">
        <v>7619241</v>
      </c>
      <c r="I41">
        <v>252349.73</v>
      </c>
      <c r="J41" t="s">
        <v>77</v>
      </c>
      <c r="K41">
        <v>6</v>
      </c>
      <c r="L41">
        <v>8</v>
      </c>
      <c r="M41" t="s">
        <v>42</v>
      </c>
      <c r="N41" t="s">
        <v>115</v>
      </c>
    </row>
    <row r="42" spans="1:14" x14ac:dyDescent="0.25">
      <c r="A42" t="s">
        <v>39</v>
      </c>
      <c r="B42" t="s">
        <v>40</v>
      </c>
      <c r="C42" t="s">
        <v>118</v>
      </c>
      <c r="D42" t="s">
        <v>121</v>
      </c>
      <c r="E42" t="s">
        <v>18</v>
      </c>
      <c r="F42">
        <v>104526.7</v>
      </c>
      <c r="G42">
        <v>104843.86</v>
      </c>
      <c r="H42">
        <v>500701.92</v>
      </c>
      <c r="I42">
        <v>139949.21</v>
      </c>
      <c r="J42" t="s">
        <v>25</v>
      </c>
      <c r="K42">
        <v>6</v>
      </c>
      <c r="L42">
        <v>8</v>
      </c>
      <c r="M42" t="s">
        <v>30</v>
      </c>
      <c r="N42" t="s">
        <v>73</v>
      </c>
    </row>
    <row r="43" spans="1:14" x14ac:dyDescent="0.25">
      <c r="A43" t="s">
        <v>44</v>
      </c>
      <c r="B43" t="s">
        <v>45</v>
      </c>
      <c r="C43" t="s">
        <v>34</v>
      </c>
      <c r="D43" t="s">
        <v>119</v>
      </c>
      <c r="E43" t="s">
        <v>18</v>
      </c>
      <c r="F43">
        <v>136063.32</v>
      </c>
      <c r="G43">
        <v>141734.43</v>
      </c>
      <c r="H43">
        <v>494871.09</v>
      </c>
      <c r="I43">
        <v>116273.2</v>
      </c>
      <c r="J43" t="s">
        <v>53</v>
      </c>
      <c r="K43">
        <v>4</v>
      </c>
      <c r="L43">
        <v>1</v>
      </c>
      <c r="M43" t="s">
        <v>30</v>
      </c>
      <c r="N43" t="s">
        <v>115</v>
      </c>
    </row>
    <row r="44" spans="1:14" x14ac:dyDescent="0.25">
      <c r="A44" t="s">
        <v>49</v>
      </c>
      <c r="B44" t="s">
        <v>50</v>
      </c>
      <c r="C44" t="s">
        <v>51</v>
      </c>
      <c r="D44" t="s">
        <v>122</v>
      </c>
      <c r="E44" t="s">
        <v>18</v>
      </c>
      <c r="F44">
        <v>47604.46</v>
      </c>
      <c r="G44">
        <v>82137.37</v>
      </c>
      <c r="H44">
        <v>122446.94</v>
      </c>
      <c r="I44">
        <v>38678.949999999997</v>
      </c>
      <c r="J44" t="s">
        <v>53</v>
      </c>
      <c r="K44">
        <v>6</v>
      </c>
      <c r="L44">
        <v>2</v>
      </c>
      <c r="M44" t="s">
        <v>54</v>
      </c>
      <c r="N44" t="s">
        <v>43</v>
      </c>
    </row>
    <row r="45" spans="1:14" x14ac:dyDescent="0.25">
      <c r="A45" t="s">
        <v>55</v>
      </c>
      <c r="B45" t="s">
        <v>56</v>
      </c>
      <c r="C45" t="s">
        <v>70</v>
      </c>
      <c r="D45" t="s">
        <v>120</v>
      </c>
      <c r="E45" t="s">
        <v>123</v>
      </c>
      <c r="F45">
        <v>72996.2</v>
      </c>
      <c r="G45">
        <v>73190.490000000005</v>
      </c>
      <c r="H45">
        <v>258313.54</v>
      </c>
      <c r="I45">
        <v>67233.17</v>
      </c>
      <c r="J45" t="s">
        <v>36</v>
      </c>
      <c r="K45">
        <v>4</v>
      </c>
      <c r="L45">
        <v>5</v>
      </c>
      <c r="M45" t="s">
        <v>20</v>
      </c>
      <c r="N45" t="s">
        <v>113</v>
      </c>
    </row>
    <row r="46" spans="1:14" x14ac:dyDescent="0.25">
      <c r="A46" t="s">
        <v>59</v>
      </c>
      <c r="B46" t="s">
        <v>60</v>
      </c>
      <c r="C46" t="s">
        <v>70</v>
      </c>
      <c r="D46" t="s">
        <v>117</v>
      </c>
      <c r="E46" t="s">
        <v>18</v>
      </c>
      <c r="F46">
        <v>67073.429999999993</v>
      </c>
      <c r="G46">
        <v>34193.519999999997</v>
      </c>
      <c r="H46" t="s">
        <v>124</v>
      </c>
      <c r="I46">
        <v>57369.56</v>
      </c>
      <c r="J46" t="s">
        <v>19</v>
      </c>
      <c r="K46">
        <v>5</v>
      </c>
      <c r="L46">
        <v>3</v>
      </c>
      <c r="M46" t="s">
        <v>42</v>
      </c>
      <c r="N46" t="s">
        <v>38</v>
      </c>
    </row>
    <row r="47" spans="1:14" x14ac:dyDescent="0.25">
      <c r="A47" t="s">
        <v>62</v>
      </c>
      <c r="B47" t="s">
        <v>63</v>
      </c>
      <c r="C47" t="s">
        <v>51</v>
      </c>
      <c r="D47" t="s">
        <v>119</v>
      </c>
      <c r="E47" t="s">
        <v>18</v>
      </c>
      <c r="F47">
        <v>69821.33</v>
      </c>
      <c r="G47">
        <v>76539.839999999997</v>
      </c>
      <c r="H47">
        <v>10505.19</v>
      </c>
      <c r="I47">
        <v>2944.93</v>
      </c>
      <c r="J47" t="s">
        <v>53</v>
      </c>
      <c r="K47">
        <v>1</v>
      </c>
      <c r="L47">
        <v>3</v>
      </c>
      <c r="M47" t="s">
        <v>20</v>
      </c>
      <c r="N47" t="s">
        <v>31</v>
      </c>
    </row>
    <row r="48" spans="1:14" x14ac:dyDescent="0.25">
      <c r="A48" t="s">
        <v>66</v>
      </c>
      <c r="B48" t="s">
        <v>67</v>
      </c>
      <c r="C48" t="s">
        <v>57</v>
      </c>
      <c r="D48" t="s">
        <v>120</v>
      </c>
      <c r="E48" t="s">
        <v>18</v>
      </c>
      <c r="F48">
        <v>71562.28</v>
      </c>
      <c r="G48">
        <v>74779.070000000007</v>
      </c>
      <c r="H48">
        <v>331394.40000000002</v>
      </c>
      <c r="I48">
        <v>81059.600000000006</v>
      </c>
      <c r="J48" t="s">
        <v>104</v>
      </c>
      <c r="K48">
        <v>3</v>
      </c>
      <c r="L48">
        <v>6</v>
      </c>
      <c r="M48" t="s">
        <v>20</v>
      </c>
      <c r="N48" t="s">
        <v>65</v>
      </c>
    </row>
    <row r="49" spans="1:14" x14ac:dyDescent="0.25">
      <c r="A49" t="s">
        <v>68</v>
      </c>
      <c r="B49" t="s">
        <v>69</v>
      </c>
      <c r="C49" t="s">
        <v>114</v>
      </c>
      <c r="D49" t="s">
        <v>121</v>
      </c>
      <c r="E49" t="s">
        <v>18</v>
      </c>
      <c r="F49">
        <v>75622.179999999993</v>
      </c>
      <c r="G49">
        <v>80247.78</v>
      </c>
      <c r="H49">
        <v>272935.3</v>
      </c>
      <c r="I49">
        <v>91046.33</v>
      </c>
      <c r="J49" t="s">
        <v>41</v>
      </c>
      <c r="K49">
        <v>1</v>
      </c>
      <c r="L49">
        <v>2</v>
      </c>
      <c r="M49" t="s">
        <v>30</v>
      </c>
      <c r="N49" t="s">
        <v>125</v>
      </c>
    </row>
    <row r="50" spans="1:14" x14ac:dyDescent="0.25">
      <c r="A50" t="s">
        <v>74</v>
      </c>
      <c r="B50" t="s">
        <v>75</v>
      </c>
      <c r="C50" t="s">
        <v>76</v>
      </c>
      <c r="D50" t="s">
        <v>120</v>
      </c>
      <c r="E50" t="s">
        <v>109</v>
      </c>
      <c r="F50">
        <v>82250.38</v>
      </c>
      <c r="G50">
        <v>85204.24</v>
      </c>
      <c r="H50">
        <v>307959.24</v>
      </c>
      <c r="I50">
        <v>67588.44</v>
      </c>
      <c r="J50" t="s">
        <v>36</v>
      </c>
      <c r="K50">
        <v>6</v>
      </c>
      <c r="L50">
        <v>4</v>
      </c>
      <c r="M50" t="s">
        <v>42</v>
      </c>
    </row>
    <row r="51" spans="1:14" x14ac:dyDescent="0.25">
      <c r="A51" t="s">
        <v>78</v>
      </c>
      <c r="B51" t="s">
        <v>79</v>
      </c>
      <c r="C51" t="s">
        <v>80</v>
      </c>
      <c r="D51" t="s">
        <v>121</v>
      </c>
      <c r="E51" t="s">
        <v>18</v>
      </c>
      <c r="F51">
        <v>33974.78</v>
      </c>
      <c r="G51">
        <v>37207.72</v>
      </c>
      <c r="H51">
        <v>156734.51</v>
      </c>
      <c r="I51">
        <v>38462.31</v>
      </c>
      <c r="J51" t="s">
        <v>36</v>
      </c>
      <c r="K51">
        <v>9</v>
      </c>
      <c r="L51">
        <v>9</v>
      </c>
      <c r="M51" t="s">
        <v>20</v>
      </c>
      <c r="N51" t="s">
        <v>113</v>
      </c>
    </row>
    <row r="52" spans="1:14" x14ac:dyDescent="0.25">
      <c r="A52" t="s">
        <v>82</v>
      </c>
      <c r="B52" t="s">
        <v>83</v>
      </c>
      <c r="C52" t="s">
        <v>126</v>
      </c>
      <c r="D52" t="s">
        <v>117</v>
      </c>
      <c r="E52" t="s">
        <v>18</v>
      </c>
      <c r="F52">
        <v>34601.61</v>
      </c>
      <c r="G52">
        <v>19326.16</v>
      </c>
      <c r="H52">
        <v>158547.95000000001</v>
      </c>
      <c r="I52">
        <v>49447.29</v>
      </c>
      <c r="J52" t="s">
        <v>19</v>
      </c>
      <c r="K52">
        <v>5</v>
      </c>
      <c r="L52">
        <v>9</v>
      </c>
      <c r="M52" t="s">
        <v>42</v>
      </c>
      <c r="N52" t="s">
        <v>127</v>
      </c>
    </row>
    <row r="53" spans="1:14" x14ac:dyDescent="0.25">
      <c r="A53" t="s">
        <v>84</v>
      </c>
      <c r="B53" t="s">
        <v>85</v>
      </c>
      <c r="C53" t="s">
        <v>126</v>
      </c>
      <c r="D53" t="s">
        <v>117</v>
      </c>
      <c r="E53" t="s">
        <v>18</v>
      </c>
      <c r="F53">
        <v>25451.200000000001</v>
      </c>
      <c r="G53">
        <v>23019.75</v>
      </c>
      <c r="H53">
        <v>65750.91</v>
      </c>
      <c r="I53">
        <v>13304.04</v>
      </c>
      <c r="J53" t="s">
        <v>53</v>
      </c>
      <c r="K53">
        <v>6</v>
      </c>
      <c r="L53">
        <v>9</v>
      </c>
      <c r="M53" t="s">
        <v>20</v>
      </c>
      <c r="N53" t="s">
        <v>125</v>
      </c>
    </row>
    <row r="54" spans="1:14" x14ac:dyDescent="0.25">
      <c r="A54" t="s">
        <v>87</v>
      </c>
      <c r="B54" t="s">
        <v>88</v>
      </c>
      <c r="C54" t="s">
        <v>126</v>
      </c>
      <c r="D54" t="s">
        <v>122</v>
      </c>
      <c r="E54" t="s">
        <v>24</v>
      </c>
      <c r="F54">
        <v>30266.62</v>
      </c>
      <c r="G54">
        <v>29991.919999999998</v>
      </c>
      <c r="H54" t="s">
        <v>128</v>
      </c>
      <c r="I54">
        <v>31038.17</v>
      </c>
      <c r="J54" t="s">
        <v>25</v>
      </c>
      <c r="K54">
        <v>9</v>
      </c>
      <c r="L54">
        <v>14</v>
      </c>
      <c r="M54" t="s">
        <v>92</v>
      </c>
      <c r="N54" t="s">
        <v>95</v>
      </c>
    </row>
    <row r="55" spans="1:14" x14ac:dyDescent="0.25">
      <c r="A55" t="s">
        <v>90</v>
      </c>
      <c r="B55" t="s">
        <v>91</v>
      </c>
      <c r="C55" t="s">
        <v>86</v>
      </c>
      <c r="D55" t="s">
        <v>117</v>
      </c>
      <c r="E55" t="s">
        <v>18</v>
      </c>
      <c r="F55">
        <v>26153.200000000001</v>
      </c>
      <c r="G55">
        <v>27258.959999999999</v>
      </c>
      <c r="H55">
        <v>107133.27</v>
      </c>
      <c r="I55">
        <v>31574.560000000001</v>
      </c>
      <c r="J55" t="s">
        <v>104</v>
      </c>
      <c r="K55">
        <v>9</v>
      </c>
      <c r="L55">
        <v>15</v>
      </c>
      <c r="M55" t="s">
        <v>54</v>
      </c>
      <c r="N55" t="s">
        <v>43</v>
      </c>
    </row>
    <row r="56" spans="1:14" x14ac:dyDescent="0.25">
      <c r="A56" t="s">
        <v>14</v>
      </c>
      <c r="B56" t="s">
        <v>15</v>
      </c>
      <c r="C56" t="s">
        <v>46</v>
      </c>
      <c r="D56" t="s">
        <v>129</v>
      </c>
      <c r="E56" t="s">
        <v>18</v>
      </c>
      <c r="F56">
        <v>96256.87</v>
      </c>
      <c r="G56">
        <v>92172.5</v>
      </c>
      <c r="H56">
        <v>334166.74</v>
      </c>
      <c r="I56">
        <v>114082.77</v>
      </c>
      <c r="J56" t="s">
        <v>19</v>
      </c>
      <c r="K56">
        <v>6</v>
      </c>
      <c r="L56">
        <v>3</v>
      </c>
      <c r="M56" t="s">
        <v>130</v>
      </c>
      <c r="N56" t="s">
        <v>95</v>
      </c>
    </row>
    <row r="57" spans="1:14" x14ac:dyDescent="0.25">
      <c r="A57" t="s">
        <v>21</v>
      </c>
      <c r="B57" t="s">
        <v>22</v>
      </c>
      <c r="C57" t="s">
        <v>118</v>
      </c>
      <c r="D57" t="s">
        <v>129</v>
      </c>
      <c r="E57" t="s">
        <v>18</v>
      </c>
      <c r="F57">
        <v>108646.46</v>
      </c>
      <c r="G57">
        <v>191640.54</v>
      </c>
      <c r="H57" t="s">
        <v>131</v>
      </c>
      <c r="I57">
        <v>101089.27</v>
      </c>
      <c r="J57" t="s">
        <v>41</v>
      </c>
      <c r="K57">
        <v>4</v>
      </c>
      <c r="L57">
        <v>6</v>
      </c>
      <c r="M57" t="s">
        <v>30</v>
      </c>
      <c r="N57" t="s">
        <v>43</v>
      </c>
    </row>
    <row r="58" spans="1:14" x14ac:dyDescent="0.25">
      <c r="A58" t="s">
        <v>27</v>
      </c>
      <c r="B58" t="s">
        <v>28</v>
      </c>
      <c r="C58" t="s">
        <v>16</v>
      </c>
      <c r="D58" t="s">
        <v>132</v>
      </c>
      <c r="E58" t="s">
        <v>72</v>
      </c>
      <c r="F58">
        <v>108728.78</v>
      </c>
      <c r="G58">
        <v>114466.49</v>
      </c>
      <c r="H58">
        <v>431213.75</v>
      </c>
      <c r="I58">
        <v>94698.75</v>
      </c>
      <c r="J58" t="s">
        <v>53</v>
      </c>
      <c r="K58">
        <v>2</v>
      </c>
      <c r="L58">
        <v>4</v>
      </c>
      <c r="M58" t="s">
        <v>54</v>
      </c>
      <c r="N58" t="s">
        <v>113</v>
      </c>
    </row>
    <row r="59" spans="1:14" x14ac:dyDescent="0.25">
      <c r="A59" t="s">
        <v>32</v>
      </c>
      <c r="B59" t="s">
        <v>33</v>
      </c>
      <c r="C59" t="s">
        <v>118</v>
      </c>
      <c r="D59" t="s">
        <v>133</v>
      </c>
      <c r="E59" t="s">
        <v>24</v>
      </c>
      <c r="F59">
        <v>130153.92</v>
      </c>
      <c r="G59">
        <v>136160.4</v>
      </c>
      <c r="H59">
        <v>330519.71999999997</v>
      </c>
      <c r="I59">
        <v>66615.899999999994</v>
      </c>
      <c r="J59" t="s">
        <v>19</v>
      </c>
      <c r="K59">
        <v>4</v>
      </c>
      <c r="L59">
        <v>6</v>
      </c>
      <c r="M59" t="s">
        <v>30</v>
      </c>
    </row>
    <row r="60" spans="1:14" x14ac:dyDescent="0.25">
      <c r="A60" t="s">
        <v>39</v>
      </c>
      <c r="B60" t="s">
        <v>40</v>
      </c>
      <c r="C60" t="s">
        <v>16</v>
      </c>
      <c r="D60" t="s">
        <v>134</v>
      </c>
      <c r="E60" t="s">
        <v>18</v>
      </c>
      <c r="F60">
        <v>170067.7</v>
      </c>
      <c r="G60">
        <v>157309.91</v>
      </c>
      <c r="H60">
        <v>785414.52</v>
      </c>
      <c r="I60">
        <v>155789.73000000001</v>
      </c>
      <c r="J60" t="s">
        <v>36</v>
      </c>
      <c r="K60">
        <v>6</v>
      </c>
      <c r="L60">
        <v>8</v>
      </c>
      <c r="M60" t="s">
        <v>112</v>
      </c>
      <c r="N60" t="s">
        <v>38</v>
      </c>
    </row>
    <row r="61" spans="1:14" x14ac:dyDescent="0.25">
      <c r="A61" t="s">
        <v>44</v>
      </c>
      <c r="B61" t="s">
        <v>45</v>
      </c>
      <c r="C61" t="s">
        <v>34</v>
      </c>
      <c r="D61" t="s">
        <v>135</v>
      </c>
      <c r="E61" t="s">
        <v>18</v>
      </c>
      <c r="F61">
        <v>154277.96</v>
      </c>
      <c r="G61">
        <v>153135.45000000001</v>
      </c>
      <c r="H61">
        <v>423947.52000000002</v>
      </c>
      <c r="I61">
        <v>137772.25</v>
      </c>
      <c r="J61" t="s">
        <v>19</v>
      </c>
      <c r="K61">
        <v>6</v>
      </c>
      <c r="L61">
        <v>7</v>
      </c>
      <c r="M61" t="s">
        <v>54</v>
      </c>
      <c r="N61" t="s">
        <v>127</v>
      </c>
    </row>
    <row r="62" spans="1:14" x14ac:dyDescent="0.25">
      <c r="A62" t="s">
        <v>49</v>
      </c>
      <c r="B62" t="s">
        <v>50</v>
      </c>
      <c r="C62" t="s">
        <v>70</v>
      </c>
      <c r="D62" t="s">
        <v>129</v>
      </c>
      <c r="E62" t="s">
        <v>18</v>
      </c>
      <c r="F62">
        <v>34352.230000000003</v>
      </c>
      <c r="G62">
        <v>63524.22</v>
      </c>
      <c r="H62">
        <v>91646.03</v>
      </c>
      <c r="I62">
        <v>17948.79</v>
      </c>
      <c r="J62" t="s">
        <v>19</v>
      </c>
      <c r="K62">
        <v>1</v>
      </c>
      <c r="L62">
        <v>8</v>
      </c>
      <c r="M62" t="s">
        <v>42</v>
      </c>
      <c r="N62" t="s">
        <v>65</v>
      </c>
    </row>
    <row r="63" spans="1:14" x14ac:dyDescent="0.25">
      <c r="A63" t="s">
        <v>55</v>
      </c>
      <c r="B63" t="s">
        <v>56</v>
      </c>
      <c r="C63" t="s">
        <v>114</v>
      </c>
      <c r="D63" t="s">
        <v>134</v>
      </c>
      <c r="E63" t="s">
        <v>18</v>
      </c>
      <c r="F63">
        <v>73263.64</v>
      </c>
      <c r="G63">
        <v>83558.62</v>
      </c>
      <c r="H63">
        <v>247566.3</v>
      </c>
      <c r="I63">
        <v>53515.32</v>
      </c>
      <c r="J63" t="s">
        <v>53</v>
      </c>
      <c r="K63">
        <v>6</v>
      </c>
      <c r="L63">
        <v>5</v>
      </c>
      <c r="M63" t="s">
        <v>30</v>
      </c>
    </row>
    <row r="64" spans="1:14" x14ac:dyDescent="0.25">
      <c r="A64" t="s">
        <v>59</v>
      </c>
      <c r="B64" t="s">
        <v>60</v>
      </c>
      <c r="C64" t="s">
        <v>70</v>
      </c>
      <c r="D64" t="s">
        <v>136</v>
      </c>
      <c r="E64" t="s">
        <v>18</v>
      </c>
      <c r="F64">
        <v>95500.52</v>
      </c>
      <c r="G64">
        <v>51958.3</v>
      </c>
      <c r="H64">
        <v>245663.9</v>
      </c>
      <c r="I64">
        <v>76059.91</v>
      </c>
      <c r="J64" t="s">
        <v>25</v>
      </c>
      <c r="K64">
        <v>3</v>
      </c>
      <c r="L64">
        <v>5</v>
      </c>
      <c r="M64" t="s">
        <v>58</v>
      </c>
      <c r="N64" t="s">
        <v>65</v>
      </c>
    </row>
    <row r="65" spans="1:14" x14ac:dyDescent="0.25">
      <c r="A65" t="s">
        <v>62</v>
      </c>
      <c r="B65" t="s">
        <v>63</v>
      </c>
      <c r="C65" t="s">
        <v>51</v>
      </c>
      <c r="D65" t="s">
        <v>129</v>
      </c>
      <c r="E65" t="s">
        <v>18</v>
      </c>
      <c r="F65">
        <v>39444.559999999998</v>
      </c>
      <c r="G65">
        <v>37215.589999999997</v>
      </c>
      <c r="H65">
        <v>175216.23</v>
      </c>
      <c r="I65">
        <v>34069.519999999997</v>
      </c>
      <c r="J65" t="s">
        <v>53</v>
      </c>
      <c r="K65">
        <v>1</v>
      </c>
      <c r="L65">
        <v>6</v>
      </c>
      <c r="M65" t="s">
        <v>54</v>
      </c>
    </row>
    <row r="66" spans="1:14" x14ac:dyDescent="0.25">
      <c r="A66" t="s">
        <v>68</v>
      </c>
      <c r="B66" t="s">
        <v>69</v>
      </c>
      <c r="C66" t="s">
        <v>114</v>
      </c>
      <c r="D66" t="s">
        <v>135</v>
      </c>
      <c r="E66" t="s">
        <v>123</v>
      </c>
      <c r="F66">
        <v>46994.79</v>
      </c>
      <c r="G66">
        <v>49511.17</v>
      </c>
      <c r="H66">
        <v>179394.86</v>
      </c>
      <c r="I66">
        <v>39016.25</v>
      </c>
      <c r="J66" t="s">
        <v>41</v>
      </c>
      <c r="K66">
        <v>5</v>
      </c>
      <c r="L66">
        <v>8</v>
      </c>
      <c r="M66" t="s">
        <v>58</v>
      </c>
      <c r="N66" t="s">
        <v>38</v>
      </c>
    </row>
    <row r="67" spans="1:14" x14ac:dyDescent="0.25">
      <c r="A67" t="s">
        <v>74</v>
      </c>
      <c r="B67" t="s">
        <v>75</v>
      </c>
      <c r="C67" t="s">
        <v>114</v>
      </c>
      <c r="D67" t="s">
        <v>136</v>
      </c>
      <c r="E67" t="s">
        <v>18</v>
      </c>
      <c r="F67">
        <v>43806.64</v>
      </c>
      <c r="G67">
        <v>44578.39</v>
      </c>
      <c r="H67">
        <v>1127410</v>
      </c>
      <c r="I67">
        <v>21978.15</v>
      </c>
      <c r="J67" t="s">
        <v>53</v>
      </c>
      <c r="K67">
        <v>1</v>
      </c>
      <c r="L67">
        <v>6</v>
      </c>
      <c r="M67" t="s">
        <v>30</v>
      </c>
    </row>
    <row r="68" spans="1:14" x14ac:dyDescent="0.25">
      <c r="A68" t="s">
        <v>78</v>
      </c>
      <c r="B68" t="s">
        <v>79</v>
      </c>
      <c r="C68" t="s">
        <v>89</v>
      </c>
      <c r="D68" t="s">
        <v>134</v>
      </c>
      <c r="E68" t="s">
        <v>18</v>
      </c>
      <c r="F68">
        <v>26619.47</v>
      </c>
      <c r="G68">
        <v>24780.77</v>
      </c>
      <c r="H68">
        <v>122748</v>
      </c>
      <c r="I68">
        <v>34382.71</v>
      </c>
      <c r="J68" t="s">
        <v>41</v>
      </c>
      <c r="K68">
        <v>10</v>
      </c>
      <c r="L68">
        <v>8</v>
      </c>
      <c r="M68" t="s">
        <v>42</v>
      </c>
      <c r="N68" t="s">
        <v>95</v>
      </c>
    </row>
    <row r="69" spans="1:14" x14ac:dyDescent="0.25">
      <c r="A69" t="s">
        <v>82</v>
      </c>
      <c r="B69" t="s">
        <v>83</v>
      </c>
      <c r="C69" t="s">
        <v>116</v>
      </c>
      <c r="D69" t="s">
        <v>133</v>
      </c>
      <c r="E69" t="s">
        <v>18</v>
      </c>
      <c r="F69">
        <v>44533.9</v>
      </c>
      <c r="G69">
        <v>22469.51</v>
      </c>
      <c r="H69">
        <v>133297.94</v>
      </c>
      <c r="I69">
        <v>41220.6</v>
      </c>
      <c r="J69" t="s">
        <v>19</v>
      </c>
      <c r="K69">
        <v>12</v>
      </c>
      <c r="L69">
        <v>6</v>
      </c>
      <c r="M69" t="s">
        <v>20</v>
      </c>
      <c r="N69" t="s">
        <v>81</v>
      </c>
    </row>
    <row r="70" spans="1:14" x14ac:dyDescent="0.25">
      <c r="A70" t="s">
        <v>84</v>
      </c>
      <c r="B70" t="s">
        <v>85</v>
      </c>
      <c r="C70" t="s">
        <v>137</v>
      </c>
      <c r="D70" t="s">
        <v>129</v>
      </c>
      <c r="E70" t="s">
        <v>18</v>
      </c>
      <c r="F70">
        <v>9843.73</v>
      </c>
      <c r="G70">
        <v>9559.2800000000007</v>
      </c>
      <c r="H70">
        <v>44206.46</v>
      </c>
      <c r="I70">
        <v>10602.04</v>
      </c>
      <c r="J70" t="s">
        <v>77</v>
      </c>
      <c r="K70">
        <v>3</v>
      </c>
      <c r="L70">
        <v>6</v>
      </c>
      <c r="M70" t="s">
        <v>20</v>
      </c>
    </row>
    <row r="71" spans="1:14" x14ac:dyDescent="0.25">
      <c r="A71" t="s">
        <v>87</v>
      </c>
      <c r="B71" t="s">
        <v>88</v>
      </c>
      <c r="C71" t="s">
        <v>116</v>
      </c>
      <c r="D71" t="s">
        <v>129</v>
      </c>
      <c r="E71" t="s">
        <v>109</v>
      </c>
      <c r="F71">
        <v>23668.89</v>
      </c>
      <c r="G71">
        <v>29044.47</v>
      </c>
      <c r="H71">
        <v>112183.27</v>
      </c>
      <c r="I71">
        <v>35637.11</v>
      </c>
      <c r="J71" t="s">
        <v>77</v>
      </c>
      <c r="K71">
        <v>12</v>
      </c>
      <c r="L71">
        <v>13</v>
      </c>
      <c r="M71" t="s">
        <v>54</v>
      </c>
      <c r="N71" t="s">
        <v>125</v>
      </c>
    </row>
    <row r="72" spans="1:14" x14ac:dyDescent="0.25">
      <c r="A72" t="s">
        <v>93</v>
      </c>
      <c r="B72" t="s">
        <v>94</v>
      </c>
      <c r="C72" t="s">
        <v>137</v>
      </c>
      <c r="D72" t="s">
        <v>134</v>
      </c>
      <c r="E72" t="s">
        <v>18</v>
      </c>
      <c r="F72">
        <v>47303.09</v>
      </c>
      <c r="G72">
        <v>24236.03</v>
      </c>
      <c r="H72">
        <v>164072.72</v>
      </c>
      <c r="I72">
        <v>48469.15</v>
      </c>
      <c r="J72" t="s">
        <v>77</v>
      </c>
      <c r="K72">
        <v>2</v>
      </c>
      <c r="L72">
        <v>6</v>
      </c>
      <c r="M72" t="s">
        <v>42</v>
      </c>
      <c r="N72" t="s">
        <v>43</v>
      </c>
    </row>
    <row r="73" spans="1:14" x14ac:dyDescent="0.25">
      <c r="A73" t="s">
        <v>96</v>
      </c>
      <c r="B73" t="s">
        <v>97</v>
      </c>
      <c r="C73" t="s">
        <v>86</v>
      </c>
      <c r="D73" t="s">
        <v>136</v>
      </c>
      <c r="E73" t="s">
        <v>18</v>
      </c>
      <c r="F73">
        <v>23733.97</v>
      </c>
      <c r="G73">
        <v>19478.8</v>
      </c>
      <c r="H73">
        <v>77742.490000000005</v>
      </c>
      <c r="I73">
        <v>22744.57</v>
      </c>
      <c r="J73" t="s">
        <v>19</v>
      </c>
      <c r="K73">
        <v>4</v>
      </c>
      <c r="L73">
        <v>7</v>
      </c>
      <c r="M73" t="s">
        <v>30</v>
      </c>
    </row>
    <row r="74" spans="1:14" x14ac:dyDescent="0.25">
      <c r="A74" t="s">
        <v>14</v>
      </c>
      <c r="B74" t="s">
        <v>15</v>
      </c>
      <c r="C74" t="s">
        <v>29</v>
      </c>
      <c r="D74" t="s">
        <v>138</v>
      </c>
      <c r="E74" t="s">
        <v>18</v>
      </c>
      <c r="F74">
        <v>173863.85</v>
      </c>
      <c r="G74">
        <v>174099.98</v>
      </c>
      <c r="H74">
        <v>592266.18000000005</v>
      </c>
      <c r="I74">
        <v>128173.95</v>
      </c>
      <c r="J74" t="s">
        <v>77</v>
      </c>
      <c r="K74">
        <v>4</v>
      </c>
      <c r="L74">
        <v>1</v>
      </c>
      <c r="M74" t="s">
        <v>58</v>
      </c>
      <c r="N74" t="s">
        <v>115</v>
      </c>
    </row>
    <row r="75" spans="1:14" x14ac:dyDescent="0.25">
      <c r="A75" t="s">
        <v>21</v>
      </c>
      <c r="B75" t="s">
        <v>22</v>
      </c>
      <c r="C75" t="s">
        <v>118</v>
      </c>
      <c r="D75" t="s">
        <v>139</v>
      </c>
      <c r="E75" t="s">
        <v>18</v>
      </c>
      <c r="F75">
        <v>150050.1</v>
      </c>
      <c r="G75">
        <v>247923.93</v>
      </c>
      <c r="H75">
        <v>686983.79</v>
      </c>
      <c r="I75">
        <v>218143.07</v>
      </c>
      <c r="J75" t="s">
        <v>25</v>
      </c>
      <c r="K75">
        <v>2</v>
      </c>
      <c r="L75">
        <v>3</v>
      </c>
      <c r="M75" t="s">
        <v>30</v>
      </c>
      <c r="N75" t="s">
        <v>105</v>
      </c>
    </row>
    <row r="76" spans="1:14" x14ac:dyDescent="0.25">
      <c r="A76" t="s">
        <v>27</v>
      </c>
      <c r="B76" t="s">
        <v>28</v>
      </c>
      <c r="C76" t="s">
        <v>111</v>
      </c>
      <c r="D76" t="s">
        <v>140</v>
      </c>
      <c r="E76" t="s">
        <v>18</v>
      </c>
      <c r="F76">
        <v>123325.51</v>
      </c>
      <c r="G76">
        <v>129415.3</v>
      </c>
      <c r="H76">
        <v>587021.49</v>
      </c>
      <c r="I76">
        <v>173354.59</v>
      </c>
      <c r="J76" t="s">
        <v>53</v>
      </c>
      <c r="K76">
        <v>5</v>
      </c>
      <c r="L76">
        <v>8</v>
      </c>
      <c r="M76" t="s">
        <v>130</v>
      </c>
      <c r="N76" t="s">
        <v>31</v>
      </c>
    </row>
    <row r="77" spans="1:14" x14ac:dyDescent="0.25">
      <c r="A77" t="s">
        <v>32</v>
      </c>
      <c r="B77" t="s">
        <v>33</v>
      </c>
      <c r="C77" t="s">
        <v>118</v>
      </c>
      <c r="D77" t="s">
        <v>138</v>
      </c>
      <c r="E77" t="s">
        <v>18</v>
      </c>
      <c r="F77">
        <v>147282.69</v>
      </c>
      <c r="G77">
        <v>144247.78</v>
      </c>
      <c r="H77">
        <v>630149.36</v>
      </c>
      <c r="I77">
        <v>126783.03999999999</v>
      </c>
      <c r="J77" t="s">
        <v>104</v>
      </c>
      <c r="K77">
        <v>1</v>
      </c>
      <c r="L77">
        <v>2</v>
      </c>
      <c r="M77" t="s">
        <v>42</v>
      </c>
      <c r="N77" t="s">
        <v>65</v>
      </c>
    </row>
    <row r="78" spans="1:14" x14ac:dyDescent="0.25">
      <c r="A78" t="s">
        <v>39</v>
      </c>
      <c r="B78" t="s">
        <v>40</v>
      </c>
      <c r="C78" t="s">
        <v>29</v>
      </c>
      <c r="D78" t="s">
        <v>138</v>
      </c>
      <c r="E78" t="s">
        <v>18</v>
      </c>
      <c r="F78">
        <v>150281</v>
      </c>
      <c r="G78">
        <v>143927.79</v>
      </c>
      <c r="H78">
        <v>35491.14</v>
      </c>
      <c r="I78">
        <v>11451.57</v>
      </c>
      <c r="J78" t="s">
        <v>25</v>
      </c>
      <c r="K78">
        <v>6</v>
      </c>
      <c r="L78">
        <v>2</v>
      </c>
      <c r="M78" t="s">
        <v>58</v>
      </c>
    </row>
    <row r="79" spans="1:14" x14ac:dyDescent="0.25">
      <c r="A79" t="s">
        <v>49</v>
      </c>
      <c r="B79" t="s">
        <v>50</v>
      </c>
      <c r="C79" t="s">
        <v>61</v>
      </c>
      <c r="D79" t="s">
        <v>138</v>
      </c>
      <c r="E79" t="s">
        <v>18</v>
      </c>
      <c r="F79">
        <v>33795.22</v>
      </c>
      <c r="G79">
        <v>59374.13</v>
      </c>
      <c r="H79" t="s">
        <v>141</v>
      </c>
      <c r="I79">
        <v>21705.119999999999</v>
      </c>
      <c r="J79" t="s">
        <v>19</v>
      </c>
      <c r="K79">
        <v>1</v>
      </c>
      <c r="L79">
        <v>7</v>
      </c>
      <c r="M79" t="s">
        <v>54</v>
      </c>
      <c r="N79" t="s">
        <v>43</v>
      </c>
    </row>
    <row r="80" spans="1:14" x14ac:dyDescent="0.25">
      <c r="A80" t="s">
        <v>55</v>
      </c>
      <c r="B80" t="s">
        <v>56</v>
      </c>
      <c r="C80" t="s">
        <v>57</v>
      </c>
      <c r="D80" t="s">
        <v>138</v>
      </c>
      <c r="E80" t="s">
        <v>18</v>
      </c>
      <c r="F80">
        <v>30093.86</v>
      </c>
      <c r="G80">
        <v>28765.06</v>
      </c>
      <c r="H80">
        <v>89327.15</v>
      </c>
      <c r="I80">
        <v>24028.32</v>
      </c>
      <c r="J80" t="s">
        <v>104</v>
      </c>
      <c r="K80">
        <v>3</v>
      </c>
      <c r="L80">
        <v>7</v>
      </c>
      <c r="M80" t="s">
        <v>54</v>
      </c>
      <c r="N80" t="s">
        <v>95</v>
      </c>
    </row>
    <row r="81" spans="1:14" x14ac:dyDescent="0.25">
      <c r="A81" t="s">
        <v>59</v>
      </c>
      <c r="B81" t="s">
        <v>60</v>
      </c>
      <c r="C81" t="s">
        <v>76</v>
      </c>
      <c r="D81" t="s">
        <v>142</v>
      </c>
      <c r="E81" t="s">
        <v>18</v>
      </c>
      <c r="F81">
        <v>69079.11</v>
      </c>
      <c r="G81">
        <v>38031.07</v>
      </c>
      <c r="H81">
        <v>195737.32</v>
      </c>
      <c r="I81">
        <v>46497.99</v>
      </c>
      <c r="J81" t="s">
        <v>36</v>
      </c>
      <c r="K81">
        <v>6</v>
      </c>
      <c r="L81">
        <v>6</v>
      </c>
      <c r="M81" t="s">
        <v>20</v>
      </c>
      <c r="N81" t="s">
        <v>101</v>
      </c>
    </row>
    <row r="82" spans="1:14" x14ac:dyDescent="0.25">
      <c r="A82" t="s">
        <v>74</v>
      </c>
      <c r="B82" t="s">
        <v>75</v>
      </c>
      <c r="C82" t="s">
        <v>76</v>
      </c>
      <c r="D82" t="s">
        <v>139</v>
      </c>
      <c r="E82" t="s">
        <v>18</v>
      </c>
      <c r="F82">
        <v>60923.02</v>
      </c>
      <c r="G82">
        <v>69862.66</v>
      </c>
      <c r="H82">
        <v>190889.13</v>
      </c>
      <c r="I82">
        <v>40561.57</v>
      </c>
      <c r="J82" t="s">
        <v>25</v>
      </c>
      <c r="K82">
        <v>3</v>
      </c>
      <c r="L82">
        <v>8</v>
      </c>
      <c r="M82" t="s">
        <v>30</v>
      </c>
      <c r="N82" t="s">
        <v>81</v>
      </c>
    </row>
    <row r="83" spans="1:14" x14ac:dyDescent="0.25">
      <c r="A83" t="s">
        <v>78</v>
      </c>
      <c r="B83" t="s">
        <v>79</v>
      </c>
      <c r="C83" t="s">
        <v>80</v>
      </c>
      <c r="D83" t="s">
        <v>143</v>
      </c>
      <c r="E83" t="s">
        <v>18</v>
      </c>
      <c r="F83">
        <v>21397.49</v>
      </c>
      <c r="G83">
        <v>21370.99</v>
      </c>
      <c r="H83">
        <v>81271.710000000006</v>
      </c>
      <c r="I83">
        <v>24674.400000000001</v>
      </c>
      <c r="J83" t="s">
        <v>25</v>
      </c>
      <c r="K83">
        <v>3</v>
      </c>
      <c r="L83">
        <v>14</v>
      </c>
      <c r="M83" t="s">
        <v>58</v>
      </c>
      <c r="N83" t="s">
        <v>125</v>
      </c>
    </row>
    <row r="84" spans="1:14" x14ac:dyDescent="0.25">
      <c r="A84" t="s">
        <v>82</v>
      </c>
      <c r="B84" t="s">
        <v>83</v>
      </c>
      <c r="C84" t="s">
        <v>86</v>
      </c>
      <c r="D84" t="s">
        <v>138</v>
      </c>
      <c r="E84" t="s">
        <v>72</v>
      </c>
      <c r="F84">
        <v>24261.15</v>
      </c>
      <c r="G84">
        <v>12171.34</v>
      </c>
      <c r="H84">
        <v>77305.440000000002</v>
      </c>
      <c r="I84">
        <v>26372.27</v>
      </c>
      <c r="J84" t="s">
        <v>41</v>
      </c>
      <c r="K84">
        <v>3</v>
      </c>
      <c r="L84">
        <v>8</v>
      </c>
      <c r="M84" t="s">
        <v>20</v>
      </c>
      <c r="N84" t="s">
        <v>95</v>
      </c>
    </row>
    <row r="85" spans="1:14" x14ac:dyDescent="0.25">
      <c r="A85" t="s">
        <v>84</v>
      </c>
      <c r="B85" t="s">
        <v>85</v>
      </c>
      <c r="C85" t="s">
        <v>86</v>
      </c>
      <c r="D85" t="s">
        <v>140</v>
      </c>
      <c r="E85" t="s">
        <v>18</v>
      </c>
      <c r="F85">
        <v>33635.61</v>
      </c>
      <c r="G85">
        <v>25771.360000000001</v>
      </c>
      <c r="H85" t="s">
        <v>144</v>
      </c>
      <c r="I85">
        <v>34343.550000000003</v>
      </c>
      <c r="J85" t="s">
        <v>25</v>
      </c>
      <c r="K85">
        <v>3</v>
      </c>
      <c r="L85">
        <v>4</v>
      </c>
      <c r="M85" t="s">
        <v>64</v>
      </c>
    </row>
    <row r="86" spans="1:14" x14ac:dyDescent="0.25">
      <c r="A86" t="s">
        <v>87</v>
      </c>
      <c r="B86" t="s">
        <v>88</v>
      </c>
      <c r="C86" t="s">
        <v>137</v>
      </c>
      <c r="D86" t="s">
        <v>142</v>
      </c>
      <c r="E86" t="s">
        <v>18</v>
      </c>
      <c r="F86">
        <v>23165.16</v>
      </c>
      <c r="G86">
        <v>20405.919999999998</v>
      </c>
      <c r="H86">
        <v>98685.78</v>
      </c>
      <c r="I86">
        <v>28028.65</v>
      </c>
      <c r="J86" t="s">
        <v>36</v>
      </c>
      <c r="K86">
        <v>9</v>
      </c>
      <c r="L86">
        <v>6</v>
      </c>
      <c r="M86" t="s">
        <v>58</v>
      </c>
      <c r="N86" t="s">
        <v>95</v>
      </c>
    </row>
    <row r="87" spans="1:14" x14ac:dyDescent="0.25">
      <c r="A87" t="s">
        <v>90</v>
      </c>
      <c r="B87" t="s">
        <v>91</v>
      </c>
      <c r="C87" t="s">
        <v>80</v>
      </c>
      <c r="D87" t="s">
        <v>145</v>
      </c>
      <c r="E87" t="s">
        <v>18</v>
      </c>
      <c r="F87">
        <v>22849.919999999998</v>
      </c>
      <c r="G87">
        <v>20454.82</v>
      </c>
      <c r="H87">
        <v>1057958</v>
      </c>
      <c r="I87">
        <v>35708.910000000003</v>
      </c>
      <c r="J87" t="s">
        <v>36</v>
      </c>
      <c r="K87">
        <v>12</v>
      </c>
      <c r="L87">
        <v>6</v>
      </c>
      <c r="M87" t="s">
        <v>42</v>
      </c>
      <c r="N87" t="s">
        <v>110</v>
      </c>
    </row>
    <row r="88" spans="1:14" x14ac:dyDescent="0.25">
      <c r="A88" t="s">
        <v>93</v>
      </c>
      <c r="B88" t="s">
        <v>94</v>
      </c>
      <c r="C88" t="s">
        <v>89</v>
      </c>
      <c r="D88" t="s">
        <v>138</v>
      </c>
      <c r="E88" t="s">
        <v>18</v>
      </c>
      <c r="F88">
        <v>29960.19</v>
      </c>
      <c r="G88">
        <v>15801.94</v>
      </c>
      <c r="H88">
        <v>128744.17</v>
      </c>
      <c r="I88">
        <v>40008.28</v>
      </c>
      <c r="J88" t="s">
        <v>19</v>
      </c>
      <c r="K88">
        <v>11</v>
      </c>
      <c r="L88">
        <v>13</v>
      </c>
      <c r="M88" t="s">
        <v>42</v>
      </c>
    </row>
    <row r="89" spans="1:14" x14ac:dyDescent="0.25">
      <c r="A89" t="s">
        <v>96</v>
      </c>
      <c r="B89" t="s">
        <v>97</v>
      </c>
      <c r="C89" t="s">
        <v>86</v>
      </c>
      <c r="D89" t="s">
        <v>143</v>
      </c>
      <c r="E89" t="s">
        <v>123</v>
      </c>
      <c r="F89">
        <v>34089.14</v>
      </c>
      <c r="G89">
        <v>32940.65</v>
      </c>
      <c r="H89">
        <v>89945.3</v>
      </c>
      <c r="I89">
        <v>18529.87</v>
      </c>
      <c r="J89" t="s">
        <v>77</v>
      </c>
      <c r="K89">
        <v>4</v>
      </c>
      <c r="L89">
        <v>15</v>
      </c>
      <c r="M89" t="s">
        <v>58</v>
      </c>
    </row>
    <row r="90" spans="1:14" x14ac:dyDescent="0.25">
      <c r="A90" t="s">
        <v>14</v>
      </c>
      <c r="B90" t="s">
        <v>15</v>
      </c>
      <c r="C90" t="s">
        <v>16</v>
      </c>
      <c r="D90" t="s">
        <v>146</v>
      </c>
      <c r="E90" t="s">
        <v>18</v>
      </c>
      <c r="F90">
        <v>169738.23999999999</v>
      </c>
      <c r="G90">
        <v>172231.58</v>
      </c>
      <c r="H90">
        <v>496993.83</v>
      </c>
      <c r="I90">
        <v>165668</v>
      </c>
      <c r="J90" t="s">
        <v>77</v>
      </c>
      <c r="K90">
        <v>3</v>
      </c>
      <c r="L90">
        <v>3</v>
      </c>
      <c r="M90" t="s">
        <v>54</v>
      </c>
      <c r="N90" t="s">
        <v>65</v>
      </c>
    </row>
    <row r="91" spans="1:14" x14ac:dyDescent="0.25">
      <c r="A91" t="s">
        <v>21</v>
      </c>
      <c r="B91" t="s">
        <v>22</v>
      </c>
      <c r="C91" t="s">
        <v>29</v>
      </c>
      <c r="D91" t="s">
        <v>147</v>
      </c>
      <c r="E91" t="s">
        <v>18</v>
      </c>
      <c r="F91">
        <v>62796.07</v>
      </c>
      <c r="G91">
        <v>109199.17</v>
      </c>
      <c r="H91">
        <v>232807.78</v>
      </c>
      <c r="I91">
        <v>69015.5</v>
      </c>
      <c r="J91" t="s">
        <v>36</v>
      </c>
      <c r="K91">
        <v>3</v>
      </c>
      <c r="L91">
        <v>5</v>
      </c>
      <c r="M91" t="s">
        <v>30</v>
      </c>
      <c r="N91" t="s">
        <v>95</v>
      </c>
    </row>
    <row r="92" spans="1:14" x14ac:dyDescent="0.25">
      <c r="A92" t="s">
        <v>27</v>
      </c>
      <c r="B92" t="s">
        <v>28</v>
      </c>
      <c r="C92" t="s">
        <v>111</v>
      </c>
      <c r="D92" t="s">
        <v>148</v>
      </c>
      <c r="E92" t="s">
        <v>109</v>
      </c>
      <c r="F92">
        <v>98307.26</v>
      </c>
      <c r="G92">
        <v>96270.97</v>
      </c>
      <c r="H92">
        <v>324196.68</v>
      </c>
      <c r="I92">
        <v>73096.679999999993</v>
      </c>
      <c r="J92" t="s">
        <v>77</v>
      </c>
      <c r="K92">
        <v>2</v>
      </c>
      <c r="L92">
        <v>2</v>
      </c>
      <c r="M92" t="s">
        <v>30</v>
      </c>
      <c r="N92" t="s">
        <v>81</v>
      </c>
    </row>
    <row r="93" spans="1:14" x14ac:dyDescent="0.25">
      <c r="A93" t="s">
        <v>32</v>
      </c>
      <c r="B93" t="s">
        <v>33</v>
      </c>
      <c r="C93" t="s">
        <v>29</v>
      </c>
      <c r="D93" t="s">
        <v>149</v>
      </c>
      <c r="E93" t="s">
        <v>18</v>
      </c>
      <c r="F93">
        <v>102307.94</v>
      </c>
      <c r="G93">
        <v>110426.59</v>
      </c>
      <c r="H93">
        <v>383337.54</v>
      </c>
      <c r="I93">
        <v>70511.100000000006</v>
      </c>
      <c r="J93" t="s">
        <v>36</v>
      </c>
      <c r="K93">
        <v>4</v>
      </c>
      <c r="L93">
        <v>8</v>
      </c>
      <c r="M93" t="s">
        <v>58</v>
      </c>
    </row>
    <row r="94" spans="1:14" x14ac:dyDescent="0.25">
      <c r="A94" t="s">
        <v>44</v>
      </c>
      <c r="B94" t="s">
        <v>45</v>
      </c>
      <c r="C94" t="s">
        <v>46</v>
      </c>
      <c r="D94" t="s">
        <v>150</v>
      </c>
      <c r="E94" t="s">
        <v>18</v>
      </c>
      <c r="F94">
        <v>98750.89</v>
      </c>
      <c r="G94">
        <v>95029.53</v>
      </c>
      <c r="H94">
        <v>435456.07</v>
      </c>
      <c r="I94">
        <v>108036.16</v>
      </c>
      <c r="J94" t="s">
        <v>19</v>
      </c>
      <c r="K94">
        <v>5</v>
      </c>
      <c r="L94">
        <v>6</v>
      </c>
      <c r="M94" t="s">
        <v>42</v>
      </c>
    </row>
    <row r="95" spans="1:14" x14ac:dyDescent="0.25">
      <c r="A95" t="s">
        <v>49</v>
      </c>
      <c r="B95" t="s">
        <v>50</v>
      </c>
      <c r="C95" t="s">
        <v>70</v>
      </c>
      <c r="D95" t="s">
        <v>149</v>
      </c>
      <c r="E95" t="s">
        <v>24</v>
      </c>
      <c r="F95">
        <v>63768.74</v>
      </c>
      <c r="G95">
        <v>110707.57</v>
      </c>
      <c r="H95">
        <v>279779.78999999998</v>
      </c>
      <c r="I95">
        <v>74575.539999999994</v>
      </c>
      <c r="J95" t="s">
        <v>77</v>
      </c>
      <c r="K95">
        <v>5</v>
      </c>
      <c r="L95">
        <v>6</v>
      </c>
      <c r="M95" t="s">
        <v>30</v>
      </c>
      <c r="N95" t="s">
        <v>81</v>
      </c>
    </row>
    <row r="96" spans="1:14" x14ac:dyDescent="0.25">
      <c r="A96" t="s">
        <v>55</v>
      </c>
      <c r="B96" t="s">
        <v>56</v>
      </c>
      <c r="C96" t="s">
        <v>61</v>
      </c>
      <c r="D96" t="s">
        <v>146</v>
      </c>
      <c r="E96" t="s">
        <v>18</v>
      </c>
      <c r="F96">
        <v>89436.94</v>
      </c>
      <c r="G96">
        <v>95858.14</v>
      </c>
      <c r="H96">
        <v>356344.66</v>
      </c>
      <c r="I96">
        <v>95019.8</v>
      </c>
      <c r="J96" t="s">
        <v>19</v>
      </c>
      <c r="K96">
        <v>4</v>
      </c>
      <c r="L96">
        <v>5</v>
      </c>
      <c r="M96" t="s">
        <v>42</v>
      </c>
      <c r="N96" t="s">
        <v>113</v>
      </c>
    </row>
    <row r="97" spans="1:14" x14ac:dyDescent="0.25">
      <c r="A97" t="s">
        <v>59</v>
      </c>
      <c r="B97" t="s">
        <v>60</v>
      </c>
      <c r="C97" t="s">
        <v>70</v>
      </c>
      <c r="D97" t="s">
        <v>151</v>
      </c>
      <c r="E97" t="s">
        <v>18</v>
      </c>
      <c r="F97">
        <v>64176.21</v>
      </c>
      <c r="G97">
        <v>33309.839999999997</v>
      </c>
      <c r="H97" t="s">
        <v>152</v>
      </c>
      <c r="I97">
        <v>57718.53</v>
      </c>
      <c r="J97" t="s">
        <v>25</v>
      </c>
      <c r="K97">
        <v>6</v>
      </c>
      <c r="L97">
        <v>4</v>
      </c>
      <c r="M97" t="s">
        <v>20</v>
      </c>
      <c r="N97" t="s">
        <v>43</v>
      </c>
    </row>
    <row r="98" spans="1:14" x14ac:dyDescent="0.25">
      <c r="A98" t="s">
        <v>62</v>
      </c>
      <c r="B98" t="s">
        <v>63</v>
      </c>
      <c r="C98" t="s">
        <v>114</v>
      </c>
      <c r="D98" t="s">
        <v>147</v>
      </c>
      <c r="E98" t="s">
        <v>18</v>
      </c>
      <c r="F98">
        <v>42233.5</v>
      </c>
      <c r="G98">
        <v>42256.55</v>
      </c>
      <c r="H98">
        <v>197739.12</v>
      </c>
      <c r="I98">
        <v>37686.67</v>
      </c>
      <c r="J98" t="s">
        <v>36</v>
      </c>
      <c r="K98">
        <v>2</v>
      </c>
      <c r="L98">
        <v>8</v>
      </c>
      <c r="M98" t="s">
        <v>54</v>
      </c>
      <c r="N98" t="s">
        <v>31</v>
      </c>
    </row>
    <row r="99" spans="1:14" x14ac:dyDescent="0.25">
      <c r="A99" t="s">
        <v>66</v>
      </c>
      <c r="B99" t="s">
        <v>67</v>
      </c>
      <c r="C99" t="s">
        <v>114</v>
      </c>
      <c r="D99" t="s">
        <v>147</v>
      </c>
      <c r="E99" t="s">
        <v>18</v>
      </c>
      <c r="F99">
        <v>41535.85</v>
      </c>
      <c r="G99">
        <v>38377.29</v>
      </c>
      <c r="H99">
        <v>127189.73</v>
      </c>
      <c r="I99">
        <v>29329.25</v>
      </c>
      <c r="J99" t="s">
        <v>19</v>
      </c>
      <c r="K99">
        <v>3</v>
      </c>
      <c r="L99">
        <v>5</v>
      </c>
      <c r="M99" t="s">
        <v>20</v>
      </c>
    </row>
    <row r="100" spans="1:14" x14ac:dyDescent="0.25">
      <c r="A100" t="s">
        <v>68</v>
      </c>
      <c r="B100" t="s">
        <v>69</v>
      </c>
      <c r="C100" t="s">
        <v>114</v>
      </c>
      <c r="D100" t="s">
        <v>147</v>
      </c>
      <c r="E100" t="s">
        <v>18</v>
      </c>
      <c r="F100">
        <v>88809.63</v>
      </c>
      <c r="G100">
        <v>97292.13</v>
      </c>
      <c r="H100">
        <v>286511.56</v>
      </c>
      <c r="I100">
        <v>86355.74</v>
      </c>
      <c r="J100" t="s">
        <v>104</v>
      </c>
      <c r="K100">
        <v>3</v>
      </c>
      <c r="L100">
        <v>3</v>
      </c>
      <c r="M100" t="s">
        <v>37</v>
      </c>
    </row>
    <row r="101" spans="1:14" x14ac:dyDescent="0.25">
      <c r="A101" t="s">
        <v>74</v>
      </c>
      <c r="B101" t="s">
        <v>75</v>
      </c>
      <c r="C101" t="s">
        <v>51</v>
      </c>
      <c r="D101" t="s">
        <v>146</v>
      </c>
      <c r="E101" t="s">
        <v>18</v>
      </c>
      <c r="F101">
        <v>44356.92</v>
      </c>
      <c r="G101">
        <v>38378.92</v>
      </c>
      <c r="H101">
        <v>5884.4</v>
      </c>
      <c r="I101">
        <v>1776.8</v>
      </c>
      <c r="J101" t="s">
        <v>36</v>
      </c>
      <c r="K101">
        <v>1</v>
      </c>
      <c r="L101">
        <v>4</v>
      </c>
      <c r="M101" t="s">
        <v>58</v>
      </c>
      <c r="N101" t="s">
        <v>81</v>
      </c>
    </row>
    <row r="102" spans="1:14" x14ac:dyDescent="0.25">
      <c r="A102" t="s">
        <v>78</v>
      </c>
      <c r="B102" t="s">
        <v>79</v>
      </c>
      <c r="C102" t="s">
        <v>116</v>
      </c>
      <c r="D102" t="s">
        <v>146</v>
      </c>
      <c r="E102" t="s">
        <v>18</v>
      </c>
      <c r="F102">
        <v>9597.39</v>
      </c>
      <c r="G102">
        <v>10886.92</v>
      </c>
      <c r="H102">
        <v>37768.93</v>
      </c>
      <c r="I102">
        <v>11441.34</v>
      </c>
      <c r="J102" t="s">
        <v>53</v>
      </c>
      <c r="K102">
        <v>2</v>
      </c>
      <c r="L102">
        <v>12</v>
      </c>
      <c r="M102" t="s">
        <v>92</v>
      </c>
      <c r="N102" t="s">
        <v>73</v>
      </c>
    </row>
    <row r="103" spans="1:14" x14ac:dyDescent="0.25">
      <c r="A103" t="s">
        <v>82</v>
      </c>
      <c r="B103" t="s">
        <v>83</v>
      </c>
      <c r="C103" t="s">
        <v>86</v>
      </c>
      <c r="D103" t="s">
        <v>151</v>
      </c>
      <c r="E103" t="s">
        <v>123</v>
      </c>
      <c r="F103">
        <v>10813.8</v>
      </c>
      <c r="G103">
        <v>6416.93</v>
      </c>
      <c r="H103">
        <v>39317.61</v>
      </c>
      <c r="I103">
        <v>10581.71</v>
      </c>
      <c r="J103" t="s">
        <v>19</v>
      </c>
      <c r="K103">
        <v>4</v>
      </c>
      <c r="L103">
        <v>6</v>
      </c>
      <c r="M103" t="s">
        <v>20</v>
      </c>
      <c r="N103" t="s">
        <v>81</v>
      </c>
    </row>
    <row r="104" spans="1:14" x14ac:dyDescent="0.25">
      <c r="A104" t="s">
        <v>84</v>
      </c>
      <c r="B104" t="s">
        <v>85</v>
      </c>
      <c r="C104" t="s">
        <v>116</v>
      </c>
      <c r="D104" t="s">
        <v>146</v>
      </c>
      <c r="E104" t="s">
        <v>18</v>
      </c>
      <c r="F104">
        <v>23330.09</v>
      </c>
      <c r="G104">
        <v>26331.31</v>
      </c>
      <c r="H104">
        <v>93959.3</v>
      </c>
      <c r="I104">
        <v>23389.599999999999</v>
      </c>
      <c r="J104" t="s">
        <v>41</v>
      </c>
      <c r="K104">
        <v>8</v>
      </c>
      <c r="L104">
        <v>4</v>
      </c>
      <c r="M104" t="s">
        <v>30</v>
      </c>
      <c r="N104" t="s">
        <v>110</v>
      </c>
    </row>
    <row r="105" spans="1:14" x14ac:dyDescent="0.25">
      <c r="A105" t="s">
        <v>87</v>
      </c>
      <c r="B105" t="s">
        <v>88</v>
      </c>
      <c r="C105" t="s">
        <v>116</v>
      </c>
      <c r="D105" t="s">
        <v>150</v>
      </c>
      <c r="E105" t="s">
        <v>18</v>
      </c>
      <c r="F105">
        <v>33758.94</v>
      </c>
      <c r="G105">
        <v>30415.89</v>
      </c>
      <c r="H105">
        <v>132746.68</v>
      </c>
      <c r="I105">
        <v>32008.39</v>
      </c>
      <c r="J105" t="s">
        <v>19</v>
      </c>
      <c r="K105">
        <v>5</v>
      </c>
      <c r="L105">
        <v>13</v>
      </c>
      <c r="M105" t="s">
        <v>30</v>
      </c>
      <c r="N105" t="s">
        <v>127</v>
      </c>
    </row>
    <row r="106" spans="1:14" x14ac:dyDescent="0.25">
      <c r="A106" t="s">
        <v>90</v>
      </c>
      <c r="B106" t="s">
        <v>91</v>
      </c>
      <c r="C106" t="s">
        <v>116</v>
      </c>
      <c r="D106" t="s">
        <v>151</v>
      </c>
      <c r="E106" t="s">
        <v>24</v>
      </c>
      <c r="F106">
        <v>33397.160000000003</v>
      </c>
      <c r="G106">
        <v>31185.33</v>
      </c>
      <c r="H106">
        <v>101788.59</v>
      </c>
      <c r="I106">
        <v>20972.68</v>
      </c>
      <c r="J106" t="s">
        <v>104</v>
      </c>
      <c r="K106">
        <v>11</v>
      </c>
      <c r="L106">
        <v>5</v>
      </c>
      <c r="M106" t="s">
        <v>54</v>
      </c>
    </row>
    <row r="107" spans="1:14" x14ac:dyDescent="0.25">
      <c r="A107" t="s">
        <v>93</v>
      </c>
      <c r="B107" t="s">
        <v>94</v>
      </c>
      <c r="C107" t="s">
        <v>137</v>
      </c>
      <c r="D107" t="s">
        <v>147</v>
      </c>
      <c r="E107" t="s">
        <v>109</v>
      </c>
      <c r="F107">
        <v>40104.06</v>
      </c>
      <c r="G107">
        <v>21864.25</v>
      </c>
      <c r="H107">
        <v>133157.26999999999</v>
      </c>
      <c r="I107">
        <v>26599.599999999999</v>
      </c>
      <c r="J107" t="s">
        <v>19</v>
      </c>
      <c r="K107">
        <v>5</v>
      </c>
      <c r="L107">
        <v>4</v>
      </c>
      <c r="M107" t="s">
        <v>20</v>
      </c>
      <c r="N107" t="s">
        <v>73</v>
      </c>
    </row>
    <row r="108" spans="1:14" x14ac:dyDescent="0.25">
      <c r="A108" t="s">
        <v>96</v>
      </c>
      <c r="B108" t="s">
        <v>97</v>
      </c>
      <c r="C108" t="s">
        <v>137</v>
      </c>
      <c r="D108" t="s">
        <v>147</v>
      </c>
      <c r="E108" t="s">
        <v>18</v>
      </c>
      <c r="F108">
        <v>18690.62</v>
      </c>
      <c r="G108">
        <v>21647.97</v>
      </c>
      <c r="H108">
        <v>56908.31</v>
      </c>
      <c r="I108">
        <v>14342.52</v>
      </c>
      <c r="J108" t="s">
        <v>19</v>
      </c>
      <c r="K108">
        <v>3</v>
      </c>
      <c r="L108">
        <v>13</v>
      </c>
      <c r="M108" t="s">
        <v>30</v>
      </c>
      <c r="N108" t="s">
        <v>65</v>
      </c>
    </row>
    <row r="109" spans="1:14" x14ac:dyDescent="0.25">
      <c r="A109" t="s">
        <v>14</v>
      </c>
      <c r="B109" t="s">
        <v>15</v>
      </c>
      <c r="C109" t="s">
        <v>16</v>
      </c>
      <c r="D109" t="s">
        <v>153</v>
      </c>
      <c r="E109" t="s">
        <v>109</v>
      </c>
      <c r="F109">
        <v>204786.7</v>
      </c>
      <c r="G109">
        <v>203100.48</v>
      </c>
      <c r="H109">
        <v>4704284</v>
      </c>
      <c r="I109">
        <v>206006.63</v>
      </c>
      <c r="J109" t="s">
        <v>25</v>
      </c>
      <c r="K109">
        <v>5</v>
      </c>
      <c r="L109">
        <v>7</v>
      </c>
      <c r="M109" t="s">
        <v>42</v>
      </c>
    </row>
    <row r="110" spans="1:14" x14ac:dyDescent="0.25">
      <c r="A110" t="s">
        <v>21</v>
      </c>
      <c r="B110" t="s">
        <v>22</v>
      </c>
      <c r="C110" t="s">
        <v>29</v>
      </c>
      <c r="D110" t="s">
        <v>154</v>
      </c>
      <c r="E110" t="s">
        <v>18</v>
      </c>
      <c r="F110">
        <v>100348.1</v>
      </c>
      <c r="G110">
        <v>162815.41</v>
      </c>
      <c r="H110">
        <v>486038.63</v>
      </c>
      <c r="I110">
        <v>96810.92</v>
      </c>
      <c r="J110" t="s">
        <v>41</v>
      </c>
      <c r="K110">
        <v>6</v>
      </c>
      <c r="L110">
        <v>4</v>
      </c>
      <c r="M110" t="s">
        <v>30</v>
      </c>
      <c r="N110" t="s">
        <v>115</v>
      </c>
    </row>
    <row r="111" spans="1:14" x14ac:dyDescent="0.25">
      <c r="A111" t="s">
        <v>27</v>
      </c>
      <c r="B111" t="s">
        <v>28</v>
      </c>
      <c r="C111" t="s">
        <v>46</v>
      </c>
      <c r="D111" t="s">
        <v>155</v>
      </c>
      <c r="E111" t="s">
        <v>18</v>
      </c>
      <c r="F111">
        <v>112807.5</v>
      </c>
      <c r="G111">
        <v>107704.43</v>
      </c>
      <c r="H111">
        <v>321539.61</v>
      </c>
      <c r="I111">
        <v>70676.800000000003</v>
      </c>
      <c r="J111" t="s">
        <v>36</v>
      </c>
      <c r="K111">
        <v>6</v>
      </c>
      <c r="L111">
        <v>1</v>
      </c>
      <c r="M111" t="s">
        <v>54</v>
      </c>
      <c r="N111" t="s">
        <v>115</v>
      </c>
    </row>
    <row r="112" spans="1:14" x14ac:dyDescent="0.25">
      <c r="A112" t="s">
        <v>32</v>
      </c>
      <c r="B112" t="s">
        <v>33</v>
      </c>
      <c r="C112" t="s">
        <v>118</v>
      </c>
      <c r="D112" t="s">
        <v>155</v>
      </c>
      <c r="E112" t="s">
        <v>18</v>
      </c>
      <c r="F112">
        <v>162833.4</v>
      </c>
      <c r="G112">
        <v>168961.46</v>
      </c>
      <c r="H112">
        <v>661914.97</v>
      </c>
      <c r="I112">
        <v>174914.69</v>
      </c>
      <c r="J112" t="s">
        <v>41</v>
      </c>
      <c r="K112">
        <v>3</v>
      </c>
      <c r="L112">
        <v>3</v>
      </c>
      <c r="M112" t="s">
        <v>37</v>
      </c>
      <c r="N112" t="s">
        <v>105</v>
      </c>
    </row>
    <row r="113" spans="1:14" x14ac:dyDescent="0.25">
      <c r="A113" t="s">
        <v>39</v>
      </c>
      <c r="B113" t="s">
        <v>40</v>
      </c>
      <c r="C113" t="s">
        <v>29</v>
      </c>
      <c r="D113" t="s">
        <v>155</v>
      </c>
      <c r="E113" t="s">
        <v>18</v>
      </c>
      <c r="F113">
        <v>179060.75</v>
      </c>
      <c r="G113">
        <v>187821.15</v>
      </c>
      <c r="H113">
        <v>699405.01</v>
      </c>
      <c r="I113">
        <v>192153.66</v>
      </c>
      <c r="J113" t="s">
        <v>41</v>
      </c>
      <c r="K113">
        <v>2</v>
      </c>
      <c r="L113">
        <v>1</v>
      </c>
      <c r="M113" t="s">
        <v>42</v>
      </c>
      <c r="N113" t="s">
        <v>115</v>
      </c>
    </row>
    <row r="114" spans="1:14" x14ac:dyDescent="0.25">
      <c r="A114" t="s">
        <v>44</v>
      </c>
      <c r="B114" t="s">
        <v>45</v>
      </c>
      <c r="C114" t="s">
        <v>111</v>
      </c>
      <c r="D114" t="s">
        <v>156</v>
      </c>
      <c r="E114" t="s">
        <v>18</v>
      </c>
      <c r="F114">
        <v>174314.07</v>
      </c>
      <c r="G114">
        <v>177184.59</v>
      </c>
      <c r="H114">
        <v>517783.95</v>
      </c>
      <c r="I114">
        <v>156956.82999999999</v>
      </c>
      <c r="J114" t="s">
        <v>53</v>
      </c>
      <c r="K114">
        <v>5</v>
      </c>
      <c r="L114">
        <v>2</v>
      </c>
      <c r="M114" t="s">
        <v>58</v>
      </c>
    </row>
    <row r="115" spans="1:14" x14ac:dyDescent="0.25">
      <c r="A115" t="s">
        <v>49</v>
      </c>
      <c r="B115" t="s">
        <v>50</v>
      </c>
      <c r="C115" t="s">
        <v>57</v>
      </c>
      <c r="D115" t="s">
        <v>157</v>
      </c>
      <c r="E115" t="s">
        <v>18</v>
      </c>
      <c r="F115">
        <v>54544.72</v>
      </c>
      <c r="G115">
        <v>88660.45</v>
      </c>
      <c r="H115">
        <v>242112.27</v>
      </c>
      <c r="I115">
        <v>65544.759999999995</v>
      </c>
      <c r="J115" t="s">
        <v>41</v>
      </c>
      <c r="K115">
        <v>3</v>
      </c>
      <c r="L115">
        <v>6</v>
      </c>
      <c r="M115" t="s">
        <v>42</v>
      </c>
      <c r="N115" t="s">
        <v>95</v>
      </c>
    </row>
    <row r="116" spans="1:14" x14ac:dyDescent="0.25">
      <c r="A116" t="s">
        <v>55</v>
      </c>
      <c r="B116" t="s">
        <v>56</v>
      </c>
      <c r="C116" t="s">
        <v>70</v>
      </c>
      <c r="D116" t="s">
        <v>155</v>
      </c>
      <c r="E116" t="s">
        <v>18</v>
      </c>
      <c r="F116">
        <v>32742.93</v>
      </c>
      <c r="G116">
        <v>36319.29</v>
      </c>
      <c r="H116">
        <v>83185.03</v>
      </c>
      <c r="I116">
        <v>23232.37</v>
      </c>
      <c r="J116" t="s">
        <v>36</v>
      </c>
      <c r="K116">
        <v>6</v>
      </c>
      <c r="L116">
        <v>3</v>
      </c>
      <c r="M116" t="s">
        <v>58</v>
      </c>
      <c r="N116" t="s">
        <v>31</v>
      </c>
    </row>
    <row r="117" spans="1:14" x14ac:dyDescent="0.25">
      <c r="A117" t="s">
        <v>59</v>
      </c>
      <c r="B117" t="s">
        <v>60</v>
      </c>
      <c r="C117" t="s">
        <v>57</v>
      </c>
      <c r="D117" t="s">
        <v>153</v>
      </c>
      <c r="E117" t="s">
        <v>18</v>
      </c>
      <c r="F117">
        <v>81499.520000000004</v>
      </c>
      <c r="G117">
        <v>42109.79</v>
      </c>
      <c r="H117">
        <v>238236.47</v>
      </c>
      <c r="I117">
        <v>62659.47</v>
      </c>
      <c r="J117" t="s">
        <v>53</v>
      </c>
      <c r="K117">
        <v>5</v>
      </c>
      <c r="L117">
        <v>6</v>
      </c>
      <c r="M117" t="s">
        <v>112</v>
      </c>
      <c r="N117" t="s">
        <v>105</v>
      </c>
    </row>
    <row r="118" spans="1:14" x14ac:dyDescent="0.25">
      <c r="A118" t="s">
        <v>62</v>
      </c>
      <c r="B118" t="s">
        <v>63</v>
      </c>
      <c r="C118" t="s">
        <v>61</v>
      </c>
      <c r="D118" t="s">
        <v>153</v>
      </c>
      <c r="E118" t="s">
        <v>18</v>
      </c>
      <c r="F118">
        <v>390641</v>
      </c>
      <c r="G118">
        <v>35765.589999999997</v>
      </c>
      <c r="H118">
        <v>134099.15</v>
      </c>
      <c r="I118">
        <v>39337.760000000002</v>
      </c>
      <c r="J118" t="s">
        <v>77</v>
      </c>
      <c r="K118">
        <v>5</v>
      </c>
      <c r="L118">
        <v>8</v>
      </c>
      <c r="M118" t="s">
        <v>37</v>
      </c>
      <c r="N118" t="s">
        <v>65</v>
      </c>
    </row>
    <row r="119" spans="1:14" x14ac:dyDescent="0.25">
      <c r="A119" t="s">
        <v>66</v>
      </c>
      <c r="B119" t="s">
        <v>67</v>
      </c>
      <c r="C119" t="s">
        <v>61</v>
      </c>
      <c r="D119" t="s">
        <v>153</v>
      </c>
      <c r="E119" t="s">
        <v>18</v>
      </c>
      <c r="F119">
        <v>84586.4</v>
      </c>
      <c r="G119">
        <v>74614.080000000002</v>
      </c>
      <c r="H119">
        <v>322355.69</v>
      </c>
      <c r="I119">
        <v>91988.3</v>
      </c>
      <c r="J119" t="s">
        <v>19</v>
      </c>
      <c r="K119">
        <v>3</v>
      </c>
      <c r="L119">
        <v>2</v>
      </c>
      <c r="M119" t="s">
        <v>42</v>
      </c>
      <c r="N119" t="s">
        <v>26</v>
      </c>
    </row>
    <row r="120" spans="1:14" x14ac:dyDescent="0.25">
      <c r="A120" t="s">
        <v>68</v>
      </c>
      <c r="B120" t="s">
        <v>69</v>
      </c>
      <c r="C120" t="s">
        <v>51</v>
      </c>
      <c r="D120" t="s">
        <v>157</v>
      </c>
      <c r="E120" t="s">
        <v>123</v>
      </c>
      <c r="F120">
        <v>81493.149999999994</v>
      </c>
      <c r="G120">
        <v>87839.49</v>
      </c>
      <c r="H120">
        <v>286301.39</v>
      </c>
      <c r="I120">
        <v>74702.009999999995</v>
      </c>
      <c r="J120" t="s">
        <v>104</v>
      </c>
      <c r="K120">
        <v>6</v>
      </c>
      <c r="L120">
        <v>2</v>
      </c>
      <c r="M120" t="s">
        <v>58</v>
      </c>
      <c r="N120" t="s">
        <v>105</v>
      </c>
    </row>
    <row r="121" spans="1:14" x14ac:dyDescent="0.25">
      <c r="A121" t="s">
        <v>74</v>
      </c>
      <c r="B121" t="s">
        <v>75</v>
      </c>
      <c r="C121" t="s">
        <v>76</v>
      </c>
      <c r="D121" t="s">
        <v>153</v>
      </c>
      <c r="E121" t="s">
        <v>18</v>
      </c>
      <c r="F121">
        <v>892087</v>
      </c>
      <c r="G121">
        <v>91630.97</v>
      </c>
      <c r="H121">
        <v>260850.99</v>
      </c>
      <c r="I121">
        <v>77303.94</v>
      </c>
      <c r="J121" t="s">
        <v>53</v>
      </c>
      <c r="K121">
        <v>3</v>
      </c>
      <c r="L121">
        <v>8</v>
      </c>
      <c r="M121" t="s">
        <v>64</v>
      </c>
      <c r="N121" t="s">
        <v>38</v>
      </c>
    </row>
    <row r="122" spans="1:14" x14ac:dyDescent="0.25">
      <c r="A122" t="s">
        <v>78</v>
      </c>
      <c r="B122" t="s">
        <v>79</v>
      </c>
      <c r="C122" t="s">
        <v>89</v>
      </c>
      <c r="D122" t="s">
        <v>153</v>
      </c>
      <c r="E122" t="s">
        <v>18</v>
      </c>
      <c r="F122">
        <v>16080.48</v>
      </c>
      <c r="G122">
        <v>16594.72</v>
      </c>
      <c r="H122">
        <v>73755.14</v>
      </c>
      <c r="I122">
        <v>24516.9</v>
      </c>
      <c r="J122" t="s">
        <v>36</v>
      </c>
      <c r="K122">
        <v>7</v>
      </c>
      <c r="L122">
        <v>11</v>
      </c>
      <c r="M122" t="s">
        <v>58</v>
      </c>
    </row>
    <row r="123" spans="1:14" x14ac:dyDescent="0.25">
      <c r="A123" t="s">
        <v>82</v>
      </c>
      <c r="B123" t="s">
        <v>83</v>
      </c>
      <c r="C123" t="s">
        <v>126</v>
      </c>
      <c r="D123" t="s">
        <v>158</v>
      </c>
      <c r="E123" t="s">
        <v>18</v>
      </c>
      <c r="F123">
        <v>46528.69</v>
      </c>
      <c r="G123">
        <v>22087.87</v>
      </c>
      <c r="H123">
        <v>207465.39</v>
      </c>
      <c r="I123">
        <v>45390.01</v>
      </c>
      <c r="J123" t="s">
        <v>41</v>
      </c>
      <c r="K123">
        <v>10</v>
      </c>
      <c r="L123">
        <v>6</v>
      </c>
      <c r="M123" t="s">
        <v>130</v>
      </c>
      <c r="N123" t="s">
        <v>38</v>
      </c>
    </row>
    <row r="124" spans="1:14" x14ac:dyDescent="0.25">
      <c r="A124" t="s">
        <v>84</v>
      </c>
      <c r="B124" t="s">
        <v>85</v>
      </c>
      <c r="C124" t="s">
        <v>137</v>
      </c>
      <c r="D124" t="s">
        <v>153</v>
      </c>
      <c r="E124" t="s">
        <v>18</v>
      </c>
      <c r="F124">
        <v>25115.32</v>
      </c>
      <c r="G124">
        <v>28124.83</v>
      </c>
      <c r="H124">
        <v>85436.07</v>
      </c>
      <c r="I124">
        <v>29074.17</v>
      </c>
      <c r="J124" t="s">
        <v>104</v>
      </c>
      <c r="K124">
        <v>9</v>
      </c>
      <c r="L124">
        <v>7</v>
      </c>
      <c r="M124" t="s">
        <v>42</v>
      </c>
      <c r="N124" t="s">
        <v>95</v>
      </c>
    </row>
    <row r="125" spans="1:14" x14ac:dyDescent="0.25">
      <c r="A125" t="s">
        <v>87</v>
      </c>
      <c r="B125" t="s">
        <v>88</v>
      </c>
      <c r="C125" t="s">
        <v>126</v>
      </c>
      <c r="D125" t="s">
        <v>153</v>
      </c>
      <c r="E125" t="s">
        <v>18</v>
      </c>
      <c r="F125">
        <v>24116.959999999999</v>
      </c>
      <c r="G125">
        <v>27546.86</v>
      </c>
      <c r="H125">
        <v>83519.33</v>
      </c>
      <c r="I125">
        <v>20539.57</v>
      </c>
      <c r="J125" t="s">
        <v>41</v>
      </c>
      <c r="K125">
        <v>3</v>
      </c>
      <c r="L125">
        <v>15</v>
      </c>
      <c r="M125" t="s">
        <v>54</v>
      </c>
      <c r="N125" t="s">
        <v>65</v>
      </c>
    </row>
    <row r="126" spans="1:14" x14ac:dyDescent="0.25">
      <c r="A126" t="s">
        <v>90</v>
      </c>
      <c r="B126" t="s">
        <v>91</v>
      </c>
      <c r="C126" t="s">
        <v>137</v>
      </c>
      <c r="D126" t="s">
        <v>153</v>
      </c>
      <c r="E126" t="s">
        <v>18</v>
      </c>
      <c r="F126">
        <v>16093.31</v>
      </c>
      <c r="G126">
        <v>18367.830000000002</v>
      </c>
      <c r="H126">
        <v>50359.98</v>
      </c>
      <c r="I126">
        <v>14415.83</v>
      </c>
      <c r="J126" t="s">
        <v>36</v>
      </c>
      <c r="K126">
        <v>11</v>
      </c>
      <c r="L126">
        <v>7</v>
      </c>
      <c r="M126" t="s">
        <v>20</v>
      </c>
      <c r="N126" t="s">
        <v>110</v>
      </c>
    </row>
    <row r="127" spans="1:14" x14ac:dyDescent="0.25">
      <c r="A127" t="s">
        <v>93</v>
      </c>
      <c r="B127" t="s">
        <v>94</v>
      </c>
      <c r="C127" t="s">
        <v>86</v>
      </c>
      <c r="D127" t="s">
        <v>157</v>
      </c>
      <c r="E127" t="s">
        <v>72</v>
      </c>
      <c r="F127">
        <v>41947.6</v>
      </c>
      <c r="G127">
        <v>20042.8</v>
      </c>
      <c r="H127">
        <v>168127.17</v>
      </c>
      <c r="I127">
        <v>43953.77</v>
      </c>
      <c r="J127" t="s">
        <v>77</v>
      </c>
      <c r="K127">
        <v>4</v>
      </c>
      <c r="L127">
        <v>7</v>
      </c>
      <c r="M127" t="s">
        <v>99</v>
      </c>
      <c r="N127" t="s">
        <v>101</v>
      </c>
    </row>
    <row r="128" spans="1:14" x14ac:dyDescent="0.25">
      <c r="A128" t="s">
        <v>96</v>
      </c>
      <c r="B128" t="s">
        <v>97</v>
      </c>
      <c r="C128" t="s">
        <v>89</v>
      </c>
      <c r="D128" t="s">
        <v>153</v>
      </c>
      <c r="E128" t="s">
        <v>109</v>
      </c>
      <c r="F128">
        <v>22731.99</v>
      </c>
      <c r="G128">
        <v>24797.33</v>
      </c>
      <c r="H128">
        <v>58359.6</v>
      </c>
      <c r="I128">
        <v>19860.11</v>
      </c>
      <c r="J128" t="s">
        <v>41</v>
      </c>
      <c r="K128">
        <v>5</v>
      </c>
      <c r="L128">
        <v>10</v>
      </c>
      <c r="M128" t="s">
        <v>42</v>
      </c>
      <c r="N128" t="s">
        <v>65</v>
      </c>
    </row>
    <row r="129" spans="1:14" x14ac:dyDescent="0.25">
      <c r="A129" t="s">
        <v>14</v>
      </c>
      <c r="B129" t="s">
        <v>15</v>
      </c>
      <c r="C129" t="s">
        <v>111</v>
      </c>
      <c r="D129" t="s">
        <v>159</v>
      </c>
      <c r="E129" t="s">
        <v>18</v>
      </c>
      <c r="F129">
        <v>90355.12</v>
      </c>
      <c r="G129">
        <v>97449.09</v>
      </c>
      <c r="H129">
        <v>357409.62</v>
      </c>
      <c r="I129">
        <v>120445</v>
      </c>
      <c r="J129" t="s">
        <v>77</v>
      </c>
      <c r="K129">
        <v>6</v>
      </c>
      <c r="L129">
        <v>8</v>
      </c>
      <c r="M129" t="s">
        <v>30</v>
      </c>
      <c r="N129" t="s">
        <v>38</v>
      </c>
    </row>
    <row r="130" spans="1:14" x14ac:dyDescent="0.25">
      <c r="A130" t="s">
        <v>21</v>
      </c>
      <c r="B130" t="s">
        <v>22</v>
      </c>
      <c r="C130" t="s">
        <v>118</v>
      </c>
      <c r="D130" t="s">
        <v>160</v>
      </c>
      <c r="E130" t="s">
        <v>24</v>
      </c>
      <c r="F130">
        <v>99799.44</v>
      </c>
      <c r="G130">
        <v>153578.17000000001</v>
      </c>
      <c r="H130">
        <v>376911.62</v>
      </c>
      <c r="I130">
        <v>105040.79</v>
      </c>
      <c r="J130" t="s">
        <v>36</v>
      </c>
      <c r="K130">
        <v>5</v>
      </c>
      <c r="L130">
        <v>4</v>
      </c>
      <c r="M130" t="s">
        <v>42</v>
      </c>
      <c r="N130" t="s">
        <v>65</v>
      </c>
    </row>
    <row r="131" spans="1:14" x14ac:dyDescent="0.25">
      <c r="A131" t="s">
        <v>27</v>
      </c>
      <c r="B131" t="s">
        <v>28</v>
      </c>
      <c r="C131" t="s">
        <v>16</v>
      </c>
      <c r="D131" t="s">
        <v>160</v>
      </c>
      <c r="E131" t="s">
        <v>109</v>
      </c>
      <c r="F131">
        <v>92019.67</v>
      </c>
      <c r="G131">
        <v>96897.71</v>
      </c>
      <c r="H131">
        <v>310181.90000000002</v>
      </c>
      <c r="I131">
        <v>97188.02</v>
      </c>
      <c r="J131" t="s">
        <v>53</v>
      </c>
      <c r="K131">
        <v>5</v>
      </c>
      <c r="L131">
        <v>3</v>
      </c>
      <c r="M131" t="s">
        <v>20</v>
      </c>
      <c r="N131" t="s">
        <v>81</v>
      </c>
    </row>
    <row r="132" spans="1:14" x14ac:dyDescent="0.25">
      <c r="A132" t="s">
        <v>32</v>
      </c>
      <c r="B132" t="s">
        <v>33</v>
      </c>
      <c r="C132" t="s">
        <v>118</v>
      </c>
      <c r="D132" t="s">
        <v>159</v>
      </c>
      <c r="E132" t="s">
        <v>18</v>
      </c>
      <c r="F132">
        <v>174799.51</v>
      </c>
      <c r="G132">
        <v>165412.19</v>
      </c>
      <c r="H132">
        <v>662487.47</v>
      </c>
      <c r="I132">
        <v>156524.75</v>
      </c>
      <c r="J132" t="s">
        <v>25</v>
      </c>
      <c r="K132">
        <v>4</v>
      </c>
      <c r="L132">
        <v>4</v>
      </c>
      <c r="M132" t="s">
        <v>92</v>
      </c>
    </row>
    <row r="133" spans="1:14" x14ac:dyDescent="0.25">
      <c r="A133" t="s">
        <v>39</v>
      </c>
      <c r="B133" t="s">
        <v>40</v>
      </c>
      <c r="C133" t="s">
        <v>29</v>
      </c>
      <c r="D133" t="s">
        <v>161</v>
      </c>
      <c r="E133" t="s">
        <v>18</v>
      </c>
      <c r="F133">
        <v>80623.009999999995</v>
      </c>
      <c r="G133">
        <v>76943.97</v>
      </c>
      <c r="H133">
        <v>353194.37</v>
      </c>
      <c r="I133">
        <v>67331.509999999995</v>
      </c>
      <c r="J133" t="s">
        <v>19</v>
      </c>
      <c r="K133">
        <v>1</v>
      </c>
      <c r="L133">
        <v>5</v>
      </c>
      <c r="M133" t="s">
        <v>54</v>
      </c>
      <c r="N133" t="s">
        <v>81</v>
      </c>
    </row>
    <row r="134" spans="1:14" x14ac:dyDescent="0.25">
      <c r="A134" t="s">
        <v>44</v>
      </c>
      <c r="B134" t="s">
        <v>45</v>
      </c>
      <c r="C134" t="s">
        <v>46</v>
      </c>
      <c r="D134" t="s">
        <v>159</v>
      </c>
      <c r="E134" t="s">
        <v>18</v>
      </c>
      <c r="F134">
        <v>165583.18</v>
      </c>
      <c r="G134">
        <v>167888.22</v>
      </c>
      <c r="H134">
        <v>559664.9</v>
      </c>
      <c r="I134">
        <v>117154.47</v>
      </c>
      <c r="J134" t="s">
        <v>41</v>
      </c>
      <c r="K134">
        <v>6</v>
      </c>
      <c r="L134">
        <v>6</v>
      </c>
      <c r="M134" t="s">
        <v>42</v>
      </c>
    </row>
    <row r="135" spans="1:14" x14ac:dyDescent="0.25">
      <c r="A135" t="s">
        <v>49</v>
      </c>
      <c r="B135" t="s">
        <v>50</v>
      </c>
      <c r="C135" t="s">
        <v>51</v>
      </c>
      <c r="D135" t="s">
        <v>161</v>
      </c>
      <c r="E135" t="s">
        <v>109</v>
      </c>
      <c r="F135">
        <v>49845.46</v>
      </c>
      <c r="G135">
        <v>83745.039999999994</v>
      </c>
      <c r="H135">
        <v>193763.31</v>
      </c>
      <c r="I135">
        <v>39498.730000000003</v>
      </c>
      <c r="J135" t="s">
        <v>25</v>
      </c>
      <c r="K135">
        <v>3</v>
      </c>
      <c r="L135">
        <v>3</v>
      </c>
      <c r="M135" t="s">
        <v>54</v>
      </c>
      <c r="N135" t="s">
        <v>65</v>
      </c>
    </row>
    <row r="136" spans="1:14" x14ac:dyDescent="0.25">
      <c r="A136" t="s">
        <v>55</v>
      </c>
      <c r="B136" t="s">
        <v>56</v>
      </c>
      <c r="C136" t="s">
        <v>70</v>
      </c>
      <c r="D136" t="s">
        <v>162</v>
      </c>
      <c r="E136" t="s">
        <v>18</v>
      </c>
      <c r="F136">
        <v>54937.83</v>
      </c>
      <c r="G136">
        <v>60539.7</v>
      </c>
      <c r="H136">
        <v>160315.92000000001</v>
      </c>
      <c r="I136">
        <v>50547.57</v>
      </c>
      <c r="J136" t="s">
        <v>104</v>
      </c>
      <c r="K136">
        <v>2</v>
      </c>
      <c r="L136">
        <v>8</v>
      </c>
      <c r="M136" t="s">
        <v>42</v>
      </c>
    </row>
    <row r="137" spans="1:14" x14ac:dyDescent="0.25">
      <c r="A137" t="s">
        <v>59</v>
      </c>
      <c r="B137" t="s">
        <v>60</v>
      </c>
      <c r="C137" t="s">
        <v>114</v>
      </c>
      <c r="D137" t="s">
        <v>159</v>
      </c>
      <c r="E137" t="s">
        <v>18</v>
      </c>
      <c r="F137">
        <v>102265.56</v>
      </c>
      <c r="G137">
        <v>57911</v>
      </c>
      <c r="H137">
        <v>449969.51</v>
      </c>
      <c r="I137">
        <v>97711.84</v>
      </c>
      <c r="J137" t="s">
        <v>53</v>
      </c>
      <c r="K137">
        <v>4</v>
      </c>
      <c r="L137">
        <v>1</v>
      </c>
      <c r="M137" t="s">
        <v>58</v>
      </c>
      <c r="N137" t="s">
        <v>105</v>
      </c>
    </row>
    <row r="138" spans="1:14" x14ac:dyDescent="0.25">
      <c r="A138" t="s">
        <v>62</v>
      </c>
      <c r="B138" t="s">
        <v>63</v>
      </c>
      <c r="C138" t="s">
        <v>114</v>
      </c>
      <c r="D138" t="s">
        <v>162</v>
      </c>
      <c r="E138" t="s">
        <v>18</v>
      </c>
      <c r="F138">
        <v>74256.78</v>
      </c>
      <c r="G138">
        <v>78470.11</v>
      </c>
      <c r="H138">
        <v>216455.1</v>
      </c>
      <c r="I138">
        <v>46564.98</v>
      </c>
      <c r="J138" t="s">
        <v>53</v>
      </c>
      <c r="K138">
        <v>2</v>
      </c>
      <c r="L138">
        <v>7</v>
      </c>
      <c r="M138" t="s">
        <v>54</v>
      </c>
    </row>
    <row r="139" spans="1:14" x14ac:dyDescent="0.25">
      <c r="A139" t="s">
        <v>66</v>
      </c>
      <c r="B139" t="s">
        <v>67</v>
      </c>
      <c r="C139" t="s">
        <v>70</v>
      </c>
      <c r="D139" t="s">
        <v>159</v>
      </c>
      <c r="E139" t="s">
        <v>72</v>
      </c>
      <c r="F139">
        <v>70757.960000000006</v>
      </c>
      <c r="G139">
        <v>62165.65</v>
      </c>
      <c r="H139">
        <v>339420.39</v>
      </c>
      <c r="I139">
        <v>111125.59</v>
      </c>
      <c r="J139" t="s">
        <v>36</v>
      </c>
      <c r="K139">
        <v>2</v>
      </c>
      <c r="L139">
        <v>7</v>
      </c>
      <c r="M139" t="s">
        <v>58</v>
      </c>
      <c r="N139" t="s">
        <v>65</v>
      </c>
    </row>
    <row r="140" spans="1:14" x14ac:dyDescent="0.25">
      <c r="A140" t="s">
        <v>68</v>
      </c>
      <c r="B140" t="s">
        <v>69</v>
      </c>
      <c r="C140" t="s">
        <v>114</v>
      </c>
      <c r="D140" t="s">
        <v>159</v>
      </c>
      <c r="E140" t="s">
        <v>18</v>
      </c>
      <c r="F140">
        <v>34530.980000000003</v>
      </c>
      <c r="G140">
        <v>37582.81</v>
      </c>
      <c r="H140">
        <v>121104.52</v>
      </c>
      <c r="I140">
        <v>36101.21</v>
      </c>
      <c r="J140" t="s">
        <v>104</v>
      </c>
      <c r="K140">
        <v>3</v>
      </c>
      <c r="L140">
        <v>2</v>
      </c>
      <c r="M140" t="s">
        <v>20</v>
      </c>
    </row>
    <row r="141" spans="1:14" x14ac:dyDescent="0.25">
      <c r="A141" t="s">
        <v>74</v>
      </c>
      <c r="B141" t="s">
        <v>75</v>
      </c>
      <c r="C141" t="s">
        <v>114</v>
      </c>
      <c r="D141" t="s">
        <v>159</v>
      </c>
      <c r="E141" t="s">
        <v>18</v>
      </c>
      <c r="F141">
        <v>88087.71</v>
      </c>
      <c r="G141">
        <v>96672.24</v>
      </c>
      <c r="H141" t="s">
        <v>163</v>
      </c>
      <c r="I141">
        <v>66324.31</v>
      </c>
      <c r="J141" t="s">
        <v>25</v>
      </c>
      <c r="K141">
        <v>5</v>
      </c>
      <c r="L141">
        <v>8</v>
      </c>
      <c r="M141" t="s">
        <v>20</v>
      </c>
      <c r="N141" t="s">
        <v>110</v>
      </c>
    </row>
    <row r="142" spans="1:14" x14ac:dyDescent="0.25">
      <c r="A142" t="s">
        <v>82</v>
      </c>
      <c r="B142" t="s">
        <v>83</v>
      </c>
      <c r="C142" t="s">
        <v>89</v>
      </c>
      <c r="D142" t="s">
        <v>159</v>
      </c>
      <c r="E142" t="s">
        <v>18</v>
      </c>
      <c r="F142">
        <v>17678.96</v>
      </c>
      <c r="G142">
        <v>9888.27</v>
      </c>
      <c r="H142">
        <v>82844.63</v>
      </c>
      <c r="I142">
        <v>16226.6</v>
      </c>
      <c r="J142" t="s">
        <v>104</v>
      </c>
      <c r="K142">
        <v>7</v>
      </c>
      <c r="L142">
        <v>4</v>
      </c>
      <c r="M142" t="s">
        <v>42</v>
      </c>
      <c r="N142" t="s">
        <v>127</v>
      </c>
    </row>
    <row r="143" spans="1:14" x14ac:dyDescent="0.25">
      <c r="A143" t="s">
        <v>87</v>
      </c>
      <c r="B143" t="s">
        <v>88</v>
      </c>
      <c r="C143" t="s">
        <v>137</v>
      </c>
      <c r="D143" t="s">
        <v>164</v>
      </c>
      <c r="E143" t="s">
        <v>18</v>
      </c>
      <c r="F143">
        <v>11582.89</v>
      </c>
      <c r="G143">
        <v>9997.14</v>
      </c>
      <c r="H143">
        <v>1375.06</v>
      </c>
      <c r="I143">
        <v>275.7</v>
      </c>
      <c r="J143" t="s">
        <v>41</v>
      </c>
      <c r="K143">
        <v>8</v>
      </c>
      <c r="L143">
        <v>12</v>
      </c>
      <c r="M143" t="s">
        <v>20</v>
      </c>
      <c r="N143" t="s">
        <v>38</v>
      </c>
    </row>
    <row r="144" spans="1:14" x14ac:dyDescent="0.25">
      <c r="A144" t="s">
        <v>90</v>
      </c>
      <c r="B144" t="s">
        <v>91</v>
      </c>
      <c r="C144" t="s">
        <v>89</v>
      </c>
      <c r="D144" t="s">
        <v>164</v>
      </c>
      <c r="E144" t="s">
        <v>18</v>
      </c>
      <c r="F144">
        <v>28335.26</v>
      </c>
      <c r="G144">
        <v>23137.81</v>
      </c>
      <c r="H144">
        <v>80957.600000000006</v>
      </c>
      <c r="I144">
        <v>14689</v>
      </c>
      <c r="J144" t="s">
        <v>104</v>
      </c>
      <c r="K144">
        <v>12</v>
      </c>
      <c r="L144">
        <v>12</v>
      </c>
      <c r="M144" t="s">
        <v>42</v>
      </c>
      <c r="N144" t="s">
        <v>127</v>
      </c>
    </row>
    <row r="145" spans="1:14" x14ac:dyDescent="0.25">
      <c r="A145" t="s">
        <v>93</v>
      </c>
      <c r="B145" t="s">
        <v>94</v>
      </c>
      <c r="C145" t="s">
        <v>86</v>
      </c>
      <c r="D145" t="s">
        <v>159</v>
      </c>
      <c r="E145" t="s">
        <v>123</v>
      </c>
      <c r="F145">
        <v>15120.94</v>
      </c>
      <c r="G145">
        <v>7993.59</v>
      </c>
      <c r="H145">
        <v>43088.26</v>
      </c>
      <c r="I145">
        <v>8373.01</v>
      </c>
      <c r="J145" t="s">
        <v>19</v>
      </c>
      <c r="K145">
        <v>10</v>
      </c>
      <c r="L145">
        <v>14</v>
      </c>
      <c r="M145" t="s">
        <v>54</v>
      </c>
      <c r="N145" t="s">
        <v>115</v>
      </c>
    </row>
    <row r="146" spans="1:14" x14ac:dyDescent="0.25">
      <c r="A146" t="s">
        <v>96</v>
      </c>
      <c r="B146" t="s">
        <v>97</v>
      </c>
      <c r="C146" t="s">
        <v>86</v>
      </c>
      <c r="D146" t="s">
        <v>161</v>
      </c>
      <c r="E146" t="s">
        <v>18</v>
      </c>
      <c r="F146">
        <v>29432.01</v>
      </c>
      <c r="G146">
        <v>25596.15</v>
      </c>
      <c r="H146">
        <v>81875.7</v>
      </c>
      <c r="I146">
        <v>23004.46</v>
      </c>
      <c r="J146" t="s">
        <v>53</v>
      </c>
      <c r="K146">
        <v>10</v>
      </c>
      <c r="L146">
        <v>8</v>
      </c>
      <c r="M146" t="s">
        <v>112</v>
      </c>
    </row>
    <row r="147" spans="1:14" x14ac:dyDescent="0.25">
      <c r="A147" t="s">
        <v>14</v>
      </c>
      <c r="B147" t="s">
        <v>15</v>
      </c>
      <c r="C147" t="s">
        <v>118</v>
      </c>
      <c r="D147" t="s">
        <v>165</v>
      </c>
      <c r="E147" t="s">
        <v>18</v>
      </c>
      <c r="F147">
        <v>187851.39</v>
      </c>
      <c r="G147">
        <v>173324.9</v>
      </c>
      <c r="H147">
        <v>476106.25</v>
      </c>
      <c r="I147">
        <v>160370.91</v>
      </c>
      <c r="J147" t="s">
        <v>104</v>
      </c>
      <c r="K147">
        <v>4</v>
      </c>
      <c r="L147">
        <v>2</v>
      </c>
      <c r="M147" t="s">
        <v>54</v>
      </c>
    </row>
    <row r="148" spans="1:14" x14ac:dyDescent="0.25">
      <c r="A148" t="s">
        <v>21</v>
      </c>
      <c r="B148" t="s">
        <v>22</v>
      </c>
      <c r="C148" t="s">
        <v>118</v>
      </c>
      <c r="D148" t="s">
        <v>166</v>
      </c>
      <c r="E148" t="s">
        <v>18</v>
      </c>
      <c r="F148">
        <v>166052.1</v>
      </c>
      <c r="G148">
        <v>278720.74</v>
      </c>
      <c r="H148">
        <v>543890.98</v>
      </c>
      <c r="I148">
        <v>186055.72</v>
      </c>
      <c r="J148" t="s">
        <v>104</v>
      </c>
      <c r="K148">
        <v>2</v>
      </c>
      <c r="L148">
        <v>2</v>
      </c>
      <c r="M148" t="s">
        <v>30</v>
      </c>
      <c r="N148" t="s">
        <v>113</v>
      </c>
    </row>
    <row r="149" spans="1:14" x14ac:dyDescent="0.25">
      <c r="A149" t="s">
        <v>27</v>
      </c>
      <c r="B149" t="s">
        <v>28</v>
      </c>
      <c r="C149" t="s">
        <v>34</v>
      </c>
      <c r="D149" t="s">
        <v>166</v>
      </c>
      <c r="E149" t="s">
        <v>18</v>
      </c>
      <c r="F149">
        <v>178209.95</v>
      </c>
      <c r="G149">
        <v>168624.61</v>
      </c>
      <c r="H149">
        <v>678536.76</v>
      </c>
      <c r="I149">
        <v>205277.82</v>
      </c>
      <c r="J149" t="s">
        <v>77</v>
      </c>
      <c r="K149">
        <v>2</v>
      </c>
      <c r="L149">
        <v>6</v>
      </c>
      <c r="M149" t="s">
        <v>42</v>
      </c>
      <c r="N149" t="s">
        <v>26</v>
      </c>
    </row>
    <row r="150" spans="1:14" x14ac:dyDescent="0.25">
      <c r="A150" t="s">
        <v>32</v>
      </c>
      <c r="B150" t="s">
        <v>33</v>
      </c>
      <c r="C150" t="s">
        <v>29</v>
      </c>
      <c r="D150" t="s">
        <v>166</v>
      </c>
      <c r="E150" t="s">
        <v>18</v>
      </c>
      <c r="F150">
        <v>151509.46</v>
      </c>
      <c r="G150">
        <v>140732.63</v>
      </c>
      <c r="H150">
        <v>518044.1</v>
      </c>
      <c r="I150">
        <v>102310.52</v>
      </c>
      <c r="J150" t="s">
        <v>41</v>
      </c>
      <c r="K150">
        <v>5</v>
      </c>
      <c r="L150">
        <v>3</v>
      </c>
      <c r="M150" t="s">
        <v>30</v>
      </c>
      <c r="N150" t="s">
        <v>125</v>
      </c>
    </row>
    <row r="151" spans="1:14" x14ac:dyDescent="0.25">
      <c r="A151" t="s">
        <v>39</v>
      </c>
      <c r="B151" t="s">
        <v>40</v>
      </c>
      <c r="C151" t="s">
        <v>46</v>
      </c>
      <c r="D151" t="s">
        <v>167</v>
      </c>
      <c r="E151" t="s">
        <v>18</v>
      </c>
      <c r="F151">
        <v>200047.93</v>
      </c>
      <c r="G151">
        <v>201740.01</v>
      </c>
      <c r="H151">
        <v>612404.38</v>
      </c>
      <c r="I151">
        <v>205581.28</v>
      </c>
      <c r="J151" t="s">
        <v>104</v>
      </c>
      <c r="K151">
        <v>3</v>
      </c>
      <c r="L151">
        <v>7</v>
      </c>
      <c r="M151" t="s">
        <v>30</v>
      </c>
      <c r="N151" t="s">
        <v>38</v>
      </c>
    </row>
    <row r="152" spans="1:14" x14ac:dyDescent="0.25">
      <c r="A152" t="s">
        <v>44</v>
      </c>
      <c r="B152" t="s">
        <v>45</v>
      </c>
      <c r="C152" t="s">
        <v>34</v>
      </c>
      <c r="D152" t="s">
        <v>168</v>
      </c>
      <c r="E152" t="s">
        <v>18</v>
      </c>
      <c r="F152">
        <v>145113.18</v>
      </c>
      <c r="G152">
        <v>140058.76</v>
      </c>
      <c r="H152">
        <v>481522.16</v>
      </c>
      <c r="I152">
        <v>87326.34</v>
      </c>
      <c r="J152" t="s">
        <v>77</v>
      </c>
      <c r="K152">
        <v>2</v>
      </c>
      <c r="L152">
        <v>5</v>
      </c>
      <c r="M152" t="s">
        <v>42</v>
      </c>
      <c r="N152" t="s">
        <v>105</v>
      </c>
    </row>
    <row r="153" spans="1:14" x14ac:dyDescent="0.25">
      <c r="A153" t="s">
        <v>49</v>
      </c>
      <c r="B153" t="s">
        <v>50</v>
      </c>
      <c r="C153" t="s">
        <v>57</v>
      </c>
      <c r="D153" t="s">
        <v>168</v>
      </c>
      <c r="E153" t="s">
        <v>18</v>
      </c>
      <c r="F153">
        <v>64100.83</v>
      </c>
      <c r="G153">
        <v>111330.92</v>
      </c>
      <c r="H153">
        <v>11631.79</v>
      </c>
      <c r="I153">
        <v>3772.55</v>
      </c>
      <c r="J153" t="s">
        <v>104</v>
      </c>
      <c r="K153">
        <v>6</v>
      </c>
      <c r="L153">
        <v>1</v>
      </c>
      <c r="M153" t="s">
        <v>58</v>
      </c>
      <c r="N153" t="s">
        <v>105</v>
      </c>
    </row>
    <row r="154" spans="1:14" x14ac:dyDescent="0.25">
      <c r="A154" t="s">
        <v>55</v>
      </c>
      <c r="B154" t="s">
        <v>56</v>
      </c>
      <c r="C154" t="s">
        <v>51</v>
      </c>
      <c r="D154" t="s">
        <v>166</v>
      </c>
      <c r="E154" t="s">
        <v>18</v>
      </c>
      <c r="F154">
        <v>61185.55</v>
      </c>
      <c r="G154">
        <v>64872.23</v>
      </c>
      <c r="H154">
        <v>223091.4</v>
      </c>
      <c r="I154">
        <v>62182.49</v>
      </c>
      <c r="J154" t="s">
        <v>53</v>
      </c>
      <c r="K154">
        <v>5</v>
      </c>
      <c r="L154">
        <v>6</v>
      </c>
      <c r="M154" t="s">
        <v>20</v>
      </c>
      <c r="N154" t="s">
        <v>38</v>
      </c>
    </row>
    <row r="155" spans="1:14" x14ac:dyDescent="0.25">
      <c r="A155" t="s">
        <v>59</v>
      </c>
      <c r="B155" t="s">
        <v>60</v>
      </c>
      <c r="C155" t="s">
        <v>114</v>
      </c>
      <c r="D155" t="s">
        <v>165</v>
      </c>
      <c r="E155" t="s">
        <v>18</v>
      </c>
      <c r="F155">
        <v>98373.29</v>
      </c>
      <c r="G155">
        <v>48898.43</v>
      </c>
      <c r="H155">
        <v>279407.65999999997</v>
      </c>
      <c r="I155">
        <v>55469.51</v>
      </c>
      <c r="J155" t="s">
        <v>53</v>
      </c>
      <c r="K155">
        <v>1</v>
      </c>
      <c r="L155">
        <v>4</v>
      </c>
      <c r="M155" t="s">
        <v>20</v>
      </c>
      <c r="N155" t="s">
        <v>127</v>
      </c>
    </row>
    <row r="156" spans="1:14" x14ac:dyDescent="0.25">
      <c r="A156" t="s">
        <v>62</v>
      </c>
      <c r="B156" t="s">
        <v>63</v>
      </c>
      <c r="C156" t="s">
        <v>61</v>
      </c>
      <c r="D156" t="s">
        <v>166</v>
      </c>
      <c r="E156" t="s">
        <v>18</v>
      </c>
      <c r="F156">
        <v>78455.81</v>
      </c>
      <c r="G156">
        <v>73847.67</v>
      </c>
      <c r="H156" t="s">
        <v>169</v>
      </c>
      <c r="I156">
        <v>48905.54</v>
      </c>
      <c r="J156" t="s">
        <v>53</v>
      </c>
      <c r="K156">
        <v>6</v>
      </c>
      <c r="L156">
        <v>1</v>
      </c>
      <c r="M156" t="s">
        <v>42</v>
      </c>
      <c r="N156" t="s">
        <v>110</v>
      </c>
    </row>
    <row r="157" spans="1:14" x14ac:dyDescent="0.25">
      <c r="A157" t="s">
        <v>66</v>
      </c>
      <c r="B157" t="s">
        <v>67</v>
      </c>
      <c r="C157" t="s">
        <v>114</v>
      </c>
      <c r="D157" t="s">
        <v>166</v>
      </c>
      <c r="E157" t="s">
        <v>18</v>
      </c>
      <c r="F157">
        <v>63007.25</v>
      </c>
      <c r="G157">
        <v>55346.68</v>
      </c>
      <c r="H157" t="s">
        <v>170</v>
      </c>
      <c r="I157">
        <v>51723.94</v>
      </c>
      <c r="J157" t="s">
        <v>41</v>
      </c>
      <c r="K157">
        <v>2</v>
      </c>
      <c r="L157">
        <v>2</v>
      </c>
      <c r="M157" t="s">
        <v>20</v>
      </c>
      <c r="N157" t="s">
        <v>110</v>
      </c>
    </row>
    <row r="158" spans="1:14" x14ac:dyDescent="0.25">
      <c r="A158" t="s">
        <v>68</v>
      </c>
      <c r="B158" t="s">
        <v>69</v>
      </c>
      <c r="C158" t="s">
        <v>61</v>
      </c>
      <c r="D158" t="s">
        <v>166</v>
      </c>
      <c r="E158" t="s">
        <v>18</v>
      </c>
      <c r="F158">
        <v>35518.720000000001</v>
      </c>
      <c r="G158">
        <v>39219.15</v>
      </c>
      <c r="H158">
        <v>99676.86</v>
      </c>
      <c r="I158">
        <v>18799.89</v>
      </c>
      <c r="J158" t="s">
        <v>25</v>
      </c>
      <c r="K158">
        <v>5</v>
      </c>
      <c r="L158">
        <v>6</v>
      </c>
      <c r="M158" t="s">
        <v>20</v>
      </c>
      <c r="N158" t="s">
        <v>43</v>
      </c>
    </row>
    <row r="159" spans="1:14" x14ac:dyDescent="0.25">
      <c r="A159" t="s">
        <v>78</v>
      </c>
      <c r="B159" t="s">
        <v>79</v>
      </c>
      <c r="C159" t="s">
        <v>89</v>
      </c>
      <c r="D159" t="s">
        <v>168</v>
      </c>
      <c r="E159" t="s">
        <v>18</v>
      </c>
      <c r="F159">
        <v>14636.19</v>
      </c>
      <c r="G159">
        <v>13136.75</v>
      </c>
      <c r="H159">
        <v>68891.759999999995</v>
      </c>
      <c r="I159">
        <v>13427.88</v>
      </c>
      <c r="J159" t="s">
        <v>36</v>
      </c>
      <c r="K159">
        <v>8</v>
      </c>
      <c r="L159">
        <v>8</v>
      </c>
      <c r="M159" t="s">
        <v>58</v>
      </c>
    </row>
    <row r="160" spans="1:14" x14ac:dyDescent="0.25">
      <c r="A160" t="s">
        <v>82</v>
      </c>
      <c r="B160" t="s">
        <v>83</v>
      </c>
      <c r="C160" t="s">
        <v>80</v>
      </c>
      <c r="D160" t="s">
        <v>167</v>
      </c>
      <c r="E160" t="s">
        <v>72</v>
      </c>
      <c r="F160">
        <v>28471.61</v>
      </c>
      <c r="G160">
        <v>14770.77</v>
      </c>
      <c r="H160">
        <v>73034.17</v>
      </c>
      <c r="I160">
        <v>13509.98</v>
      </c>
      <c r="J160" t="s">
        <v>53</v>
      </c>
      <c r="K160">
        <v>6</v>
      </c>
      <c r="L160">
        <v>4</v>
      </c>
      <c r="M160" t="s">
        <v>20</v>
      </c>
      <c r="N160" t="s">
        <v>115</v>
      </c>
    </row>
    <row r="161" spans="1:14" x14ac:dyDescent="0.25">
      <c r="A161" t="s">
        <v>84</v>
      </c>
      <c r="B161" t="s">
        <v>85</v>
      </c>
      <c r="C161" t="s">
        <v>86</v>
      </c>
      <c r="D161" t="s">
        <v>167</v>
      </c>
      <c r="E161" t="s">
        <v>18</v>
      </c>
      <c r="F161">
        <v>33590.67</v>
      </c>
      <c r="G161">
        <v>34861.94</v>
      </c>
      <c r="H161">
        <v>116595.1</v>
      </c>
      <c r="I161">
        <v>40640.629999999997</v>
      </c>
      <c r="J161" t="s">
        <v>41</v>
      </c>
      <c r="K161">
        <v>4</v>
      </c>
      <c r="L161">
        <v>14</v>
      </c>
      <c r="M161" t="s">
        <v>54</v>
      </c>
    </row>
    <row r="162" spans="1:14" x14ac:dyDescent="0.25">
      <c r="A162" t="s">
        <v>87</v>
      </c>
      <c r="B162" t="s">
        <v>88</v>
      </c>
      <c r="C162" t="s">
        <v>126</v>
      </c>
      <c r="D162" t="s">
        <v>166</v>
      </c>
      <c r="E162" t="s">
        <v>18</v>
      </c>
      <c r="F162">
        <v>12740.03</v>
      </c>
      <c r="G162">
        <v>9796.85</v>
      </c>
      <c r="H162">
        <v>39259.15</v>
      </c>
      <c r="I162">
        <v>10580.19</v>
      </c>
      <c r="J162" t="s">
        <v>41</v>
      </c>
      <c r="K162">
        <v>2</v>
      </c>
      <c r="L162">
        <v>2</v>
      </c>
      <c r="M162" t="s">
        <v>54</v>
      </c>
    </row>
    <row r="163" spans="1:14" x14ac:dyDescent="0.25">
      <c r="A163" t="s">
        <v>90</v>
      </c>
      <c r="B163" t="s">
        <v>91</v>
      </c>
      <c r="C163" t="s">
        <v>86</v>
      </c>
      <c r="D163" t="s">
        <v>171</v>
      </c>
      <c r="E163" t="s">
        <v>18</v>
      </c>
      <c r="F163">
        <v>11824.62</v>
      </c>
      <c r="G163">
        <v>9524.26</v>
      </c>
      <c r="H163">
        <v>55004.28</v>
      </c>
      <c r="I163">
        <v>13394.12</v>
      </c>
      <c r="J163" t="s">
        <v>25</v>
      </c>
      <c r="K163">
        <v>12</v>
      </c>
      <c r="L163">
        <v>10</v>
      </c>
      <c r="M163" t="s">
        <v>30</v>
      </c>
      <c r="N163" t="s">
        <v>81</v>
      </c>
    </row>
    <row r="164" spans="1:14" x14ac:dyDescent="0.25">
      <c r="A164" t="s">
        <v>93</v>
      </c>
      <c r="B164" t="s">
        <v>94</v>
      </c>
      <c r="C164" t="s">
        <v>89</v>
      </c>
      <c r="D164" t="s">
        <v>165</v>
      </c>
      <c r="E164" t="s">
        <v>24</v>
      </c>
      <c r="F164" t="s">
        <v>172</v>
      </c>
      <c r="G164">
        <v>25695.91</v>
      </c>
      <c r="H164">
        <v>198096.02</v>
      </c>
      <c r="I164">
        <v>48399.87</v>
      </c>
      <c r="J164" t="s">
        <v>41</v>
      </c>
      <c r="K164">
        <v>6</v>
      </c>
      <c r="L164">
        <v>5</v>
      </c>
      <c r="M164" t="s">
        <v>30</v>
      </c>
    </row>
    <row r="165" spans="1:14" x14ac:dyDescent="0.25">
      <c r="A165" t="s">
        <v>96</v>
      </c>
      <c r="B165" t="s">
        <v>97</v>
      </c>
      <c r="C165" t="s">
        <v>116</v>
      </c>
      <c r="D165" t="s">
        <v>166</v>
      </c>
      <c r="E165" t="s">
        <v>18</v>
      </c>
      <c r="F165">
        <v>21397</v>
      </c>
      <c r="G165">
        <v>19590.75</v>
      </c>
      <c r="H165">
        <v>66223.490000000005</v>
      </c>
      <c r="I165">
        <v>13810.3</v>
      </c>
      <c r="J165" t="s">
        <v>104</v>
      </c>
      <c r="K165">
        <v>3</v>
      </c>
      <c r="L165">
        <v>3</v>
      </c>
      <c r="M165" t="s">
        <v>42</v>
      </c>
      <c r="N165" t="s">
        <v>115</v>
      </c>
    </row>
    <row r="166" spans="1:14" x14ac:dyDescent="0.25">
      <c r="A166" t="s">
        <v>14</v>
      </c>
      <c r="B166" t="s">
        <v>15</v>
      </c>
      <c r="C166" t="s">
        <v>34</v>
      </c>
      <c r="D166" t="s">
        <v>173</v>
      </c>
      <c r="E166" t="s">
        <v>18</v>
      </c>
      <c r="F166">
        <v>182561.83</v>
      </c>
      <c r="G166">
        <v>196264.24</v>
      </c>
      <c r="H166">
        <v>681449.45</v>
      </c>
      <c r="I166">
        <v>185915.82</v>
      </c>
      <c r="J166" t="s">
        <v>104</v>
      </c>
      <c r="K166">
        <v>1</v>
      </c>
      <c r="L166">
        <v>7</v>
      </c>
      <c r="M166" t="s">
        <v>54</v>
      </c>
      <c r="N166" t="s">
        <v>26</v>
      </c>
    </row>
    <row r="167" spans="1:14" x14ac:dyDescent="0.25">
      <c r="A167" t="s">
        <v>21</v>
      </c>
      <c r="B167" t="s">
        <v>22</v>
      </c>
      <c r="C167" t="s">
        <v>46</v>
      </c>
      <c r="D167" t="s">
        <v>174</v>
      </c>
      <c r="E167" t="s">
        <v>18</v>
      </c>
      <c r="F167">
        <v>161915.92000000001</v>
      </c>
      <c r="G167">
        <v>274036.43</v>
      </c>
      <c r="H167">
        <v>541588.77</v>
      </c>
      <c r="I167">
        <v>179725.39</v>
      </c>
      <c r="J167" t="s">
        <v>19</v>
      </c>
      <c r="K167">
        <v>6</v>
      </c>
      <c r="L167">
        <v>2</v>
      </c>
      <c r="M167" t="s">
        <v>58</v>
      </c>
    </row>
    <row r="168" spans="1:14" x14ac:dyDescent="0.25">
      <c r="A168" t="s">
        <v>27</v>
      </c>
      <c r="B168" t="s">
        <v>28</v>
      </c>
      <c r="C168" t="s">
        <v>16</v>
      </c>
      <c r="D168" t="s">
        <v>175</v>
      </c>
      <c r="E168" t="s">
        <v>24</v>
      </c>
      <c r="F168">
        <v>119413.23</v>
      </c>
      <c r="G168">
        <v>114398.8</v>
      </c>
      <c r="H168">
        <v>415827.38</v>
      </c>
      <c r="I168">
        <v>109554.38</v>
      </c>
      <c r="J168" t="s">
        <v>104</v>
      </c>
      <c r="K168">
        <v>1</v>
      </c>
      <c r="L168">
        <v>1</v>
      </c>
      <c r="M168" t="s">
        <v>20</v>
      </c>
    </row>
    <row r="169" spans="1:14" x14ac:dyDescent="0.25">
      <c r="A169" t="s">
        <v>32</v>
      </c>
      <c r="B169" t="s">
        <v>33</v>
      </c>
      <c r="C169" t="s">
        <v>111</v>
      </c>
      <c r="D169" t="s">
        <v>176</v>
      </c>
      <c r="E169" t="s">
        <v>18</v>
      </c>
      <c r="F169">
        <v>123169.48</v>
      </c>
      <c r="G169">
        <v>121148.85</v>
      </c>
      <c r="H169">
        <v>583477.67000000004</v>
      </c>
      <c r="I169">
        <v>168693.48</v>
      </c>
      <c r="J169" t="s">
        <v>104</v>
      </c>
      <c r="K169">
        <v>4</v>
      </c>
      <c r="L169">
        <v>8</v>
      </c>
      <c r="M169" t="s">
        <v>20</v>
      </c>
      <c r="N169" t="s">
        <v>43</v>
      </c>
    </row>
    <row r="170" spans="1:14" x14ac:dyDescent="0.25">
      <c r="A170" t="s">
        <v>39</v>
      </c>
      <c r="B170" t="s">
        <v>40</v>
      </c>
      <c r="C170" t="s">
        <v>46</v>
      </c>
      <c r="D170" t="s">
        <v>174</v>
      </c>
      <c r="E170" t="s">
        <v>109</v>
      </c>
      <c r="F170">
        <v>173445.58</v>
      </c>
      <c r="G170">
        <v>161948.43</v>
      </c>
      <c r="H170">
        <v>784052.16</v>
      </c>
      <c r="I170">
        <v>241956.67</v>
      </c>
      <c r="J170" t="s">
        <v>53</v>
      </c>
      <c r="K170">
        <v>2</v>
      </c>
      <c r="L170">
        <v>6</v>
      </c>
      <c r="M170" t="s">
        <v>20</v>
      </c>
      <c r="N170" t="s">
        <v>115</v>
      </c>
    </row>
    <row r="171" spans="1:14" x14ac:dyDescent="0.25">
      <c r="A171" t="s">
        <v>44</v>
      </c>
      <c r="B171" t="s">
        <v>45</v>
      </c>
      <c r="C171" t="s">
        <v>29</v>
      </c>
      <c r="D171" t="s">
        <v>176</v>
      </c>
      <c r="E171" t="s">
        <v>18</v>
      </c>
      <c r="F171">
        <v>206063.71</v>
      </c>
      <c r="G171">
        <v>215969.61</v>
      </c>
      <c r="H171">
        <v>577123.59</v>
      </c>
      <c r="I171">
        <v>120843.58</v>
      </c>
      <c r="J171" t="s">
        <v>41</v>
      </c>
      <c r="K171">
        <v>2</v>
      </c>
      <c r="L171">
        <v>3</v>
      </c>
      <c r="M171" t="s">
        <v>177</v>
      </c>
    </row>
    <row r="172" spans="1:14" x14ac:dyDescent="0.25">
      <c r="A172" t="s">
        <v>49</v>
      </c>
      <c r="B172" t="s">
        <v>50</v>
      </c>
      <c r="C172" t="s">
        <v>57</v>
      </c>
      <c r="D172" t="s">
        <v>174</v>
      </c>
      <c r="E172" t="s">
        <v>18</v>
      </c>
      <c r="F172">
        <v>67151.37</v>
      </c>
      <c r="G172">
        <v>106505.71</v>
      </c>
      <c r="H172">
        <v>260556.42</v>
      </c>
      <c r="I172">
        <v>69919.53</v>
      </c>
      <c r="J172" t="s">
        <v>104</v>
      </c>
      <c r="K172">
        <v>1</v>
      </c>
      <c r="L172">
        <v>7</v>
      </c>
      <c r="M172" t="s">
        <v>54</v>
      </c>
      <c r="N172" t="s">
        <v>127</v>
      </c>
    </row>
    <row r="173" spans="1:14" x14ac:dyDescent="0.25">
      <c r="A173" t="s">
        <v>55</v>
      </c>
      <c r="B173" t="s">
        <v>56</v>
      </c>
      <c r="C173" t="s">
        <v>70</v>
      </c>
      <c r="D173" t="s">
        <v>175</v>
      </c>
      <c r="E173" t="s">
        <v>18</v>
      </c>
      <c r="F173">
        <v>36059.43</v>
      </c>
      <c r="G173">
        <v>33745.42</v>
      </c>
      <c r="H173">
        <v>169289.41</v>
      </c>
      <c r="I173">
        <v>49316.36</v>
      </c>
      <c r="J173" t="s">
        <v>36</v>
      </c>
      <c r="K173">
        <v>5</v>
      </c>
      <c r="L173">
        <v>6</v>
      </c>
      <c r="M173" t="s">
        <v>30</v>
      </c>
      <c r="N173" t="s">
        <v>105</v>
      </c>
    </row>
    <row r="174" spans="1:14" x14ac:dyDescent="0.25">
      <c r="A174" t="s">
        <v>62</v>
      </c>
      <c r="B174" t="s">
        <v>63</v>
      </c>
      <c r="C174" t="s">
        <v>70</v>
      </c>
      <c r="D174" t="s">
        <v>176</v>
      </c>
      <c r="E174" t="s">
        <v>18</v>
      </c>
      <c r="F174">
        <v>46115.06</v>
      </c>
      <c r="G174">
        <v>44350.34</v>
      </c>
      <c r="H174">
        <v>209522.16</v>
      </c>
      <c r="I174">
        <v>47699.59</v>
      </c>
      <c r="J174" t="s">
        <v>77</v>
      </c>
      <c r="K174">
        <v>4</v>
      </c>
      <c r="L174">
        <v>6</v>
      </c>
      <c r="M174" t="s">
        <v>30</v>
      </c>
      <c r="N174" t="s">
        <v>26</v>
      </c>
    </row>
    <row r="175" spans="1:14" x14ac:dyDescent="0.25">
      <c r="A175" t="s">
        <v>68</v>
      </c>
      <c r="B175" t="s">
        <v>69</v>
      </c>
      <c r="C175" t="s">
        <v>70</v>
      </c>
      <c r="D175" t="s">
        <v>176</v>
      </c>
      <c r="E175" t="s">
        <v>18</v>
      </c>
      <c r="F175">
        <v>79438.17</v>
      </c>
      <c r="G175">
        <v>85180.23</v>
      </c>
      <c r="H175">
        <v>361645.71</v>
      </c>
      <c r="I175">
        <v>74869.820000000007</v>
      </c>
      <c r="J175" t="s">
        <v>104</v>
      </c>
      <c r="K175">
        <v>3</v>
      </c>
      <c r="L175">
        <v>6</v>
      </c>
      <c r="M175" t="s">
        <v>130</v>
      </c>
      <c r="N175" t="s">
        <v>95</v>
      </c>
    </row>
    <row r="176" spans="1:14" x14ac:dyDescent="0.25">
      <c r="A176" t="s">
        <v>74</v>
      </c>
      <c r="B176" t="s">
        <v>75</v>
      </c>
      <c r="C176" t="s">
        <v>70</v>
      </c>
      <c r="D176" t="s">
        <v>178</v>
      </c>
      <c r="E176" t="s">
        <v>18</v>
      </c>
      <c r="F176">
        <v>46438.65</v>
      </c>
      <c r="G176">
        <v>50945.61</v>
      </c>
      <c r="H176">
        <v>189865.56</v>
      </c>
      <c r="I176">
        <v>35162.29</v>
      </c>
      <c r="J176" t="s">
        <v>19</v>
      </c>
      <c r="K176">
        <v>3</v>
      </c>
      <c r="L176">
        <v>7</v>
      </c>
      <c r="M176" t="s">
        <v>20</v>
      </c>
      <c r="N176" t="s">
        <v>26</v>
      </c>
    </row>
    <row r="177" spans="1:14" x14ac:dyDescent="0.25">
      <c r="A177" t="s">
        <v>78</v>
      </c>
      <c r="B177" t="s">
        <v>79</v>
      </c>
      <c r="C177" t="s">
        <v>89</v>
      </c>
      <c r="D177" t="s">
        <v>174</v>
      </c>
      <c r="E177" t="s">
        <v>18</v>
      </c>
      <c r="F177">
        <v>18437.27</v>
      </c>
      <c r="G177">
        <v>15329.74</v>
      </c>
      <c r="H177">
        <v>82038.039999999994</v>
      </c>
      <c r="I177">
        <v>17853.91</v>
      </c>
      <c r="J177" t="s">
        <v>41</v>
      </c>
      <c r="K177">
        <v>5</v>
      </c>
      <c r="L177">
        <v>11</v>
      </c>
      <c r="M177" t="s">
        <v>42</v>
      </c>
      <c r="N177" t="s">
        <v>125</v>
      </c>
    </row>
    <row r="178" spans="1:14" x14ac:dyDescent="0.25">
      <c r="A178" t="s">
        <v>82</v>
      </c>
      <c r="B178" t="s">
        <v>83</v>
      </c>
      <c r="C178" t="s">
        <v>116</v>
      </c>
      <c r="D178" t="s">
        <v>175</v>
      </c>
      <c r="E178" t="s">
        <v>18</v>
      </c>
      <c r="F178">
        <v>11359.54</v>
      </c>
      <c r="G178">
        <v>5675.29</v>
      </c>
      <c r="H178">
        <v>46651.95</v>
      </c>
      <c r="I178">
        <v>11383.11</v>
      </c>
      <c r="J178" t="s">
        <v>19</v>
      </c>
      <c r="K178">
        <v>7</v>
      </c>
      <c r="L178">
        <v>13</v>
      </c>
      <c r="M178" t="s">
        <v>58</v>
      </c>
      <c r="N178" t="s">
        <v>95</v>
      </c>
    </row>
    <row r="179" spans="1:14" x14ac:dyDescent="0.25">
      <c r="A179" t="s">
        <v>84</v>
      </c>
      <c r="B179" t="s">
        <v>85</v>
      </c>
      <c r="C179" t="s">
        <v>86</v>
      </c>
      <c r="D179" t="s">
        <v>175</v>
      </c>
      <c r="E179" t="s">
        <v>18</v>
      </c>
      <c r="F179">
        <v>24031.86</v>
      </c>
      <c r="G179">
        <v>21420.52</v>
      </c>
      <c r="H179">
        <v>66574.53</v>
      </c>
      <c r="I179">
        <v>23169.360000000001</v>
      </c>
      <c r="J179" t="s">
        <v>53</v>
      </c>
      <c r="K179">
        <v>12</v>
      </c>
      <c r="L179">
        <v>12</v>
      </c>
      <c r="M179" t="s">
        <v>42</v>
      </c>
    </row>
    <row r="180" spans="1:14" x14ac:dyDescent="0.25">
      <c r="A180" t="s">
        <v>87</v>
      </c>
      <c r="B180" t="s">
        <v>88</v>
      </c>
      <c r="C180" t="s">
        <v>80</v>
      </c>
      <c r="D180" t="s">
        <v>173</v>
      </c>
      <c r="E180" t="s">
        <v>18</v>
      </c>
      <c r="F180">
        <v>16628.810000000001</v>
      </c>
      <c r="G180">
        <v>13635.04</v>
      </c>
      <c r="H180">
        <v>68818.37</v>
      </c>
      <c r="I180">
        <v>15422.37</v>
      </c>
      <c r="J180" t="s">
        <v>19</v>
      </c>
      <c r="K180">
        <v>8</v>
      </c>
      <c r="L180">
        <v>2</v>
      </c>
      <c r="M180" t="s">
        <v>30</v>
      </c>
      <c r="N180" t="s">
        <v>95</v>
      </c>
    </row>
    <row r="181" spans="1:14" x14ac:dyDescent="0.25">
      <c r="A181" t="s">
        <v>90</v>
      </c>
      <c r="B181" t="s">
        <v>91</v>
      </c>
      <c r="C181" t="s">
        <v>126</v>
      </c>
      <c r="D181" t="s">
        <v>179</v>
      </c>
      <c r="E181" t="s">
        <v>18</v>
      </c>
      <c r="F181">
        <v>30826.32</v>
      </c>
      <c r="G181">
        <v>36076.639999999999</v>
      </c>
      <c r="H181">
        <v>91025.18</v>
      </c>
      <c r="I181">
        <v>18364.38</v>
      </c>
      <c r="J181" t="s">
        <v>36</v>
      </c>
      <c r="K181">
        <v>6</v>
      </c>
      <c r="L181">
        <v>10</v>
      </c>
      <c r="M181" t="s">
        <v>54</v>
      </c>
      <c r="N181" t="s">
        <v>95</v>
      </c>
    </row>
    <row r="182" spans="1:14" x14ac:dyDescent="0.25">
      <c r="A182" t="s">
        <v>93</v>
      </c>
      <c r="B182" t="s">
        <v>94</v>
      </c>
      <c r="C182" t="s">
        <v>80</v>
      </c>
      <c r="D182" t="s">
        <v>175</v>
      </c>
      <c r="E182" t="s">
        <v>18</v>
      </c>
      <c r="F182">
        <v>21471.200000000001</v>
      </c>
      <c r="G182">
        <v>12155.87</v>
      </c>
      <c r="H182">
        <v>84828.05</v>
      </c>
      <c r="I182">
        <v>22078.82</v>
      </c>
      <c r="J182" t="s">
        <v>77</v>
      </c>
      <c r="K182">
        <v>5</v>
      </c>
      <c r="L182">
        <v>11</v>
      </c>
      <c r="M182" t="s">
        <v>20</v>
      </c>
      <c r="N182" t="s">
        <v>110</v>
      </c>
    </row>
    <row r="183" spans="1:14" x14ac:dyDescent="0.25">
      <c r="A183" t="s">
        <v>96</v>
      </c>
      <c r="B183" t="s">
        <v>97</v>
      </c>
      <c r="C183" t="s">
        <v>86</v>
      </c>
      <c r="D183" t="s">
        <v>173</v>
      </c>
      <c r="E183" t="s">
        <v>72</v>
      </c>
      <c r="F183">
        <v>31284.639999999999</v>
      </c>
      <c r="G183">
        <v>26284.68</v>
      </c>
      <c r="H183">
        <v>116346.06</v>
      </c>
      <c r="I183">
        <v>24439.67</v>
      </c>
      <c r="J183" t="s">
        <v>41</v>
      </c>
      <c r="K183">
        <v>12</v>
      </c>
      <c r="L183">
        <v>3</v>
      </c>
      <c r="M183" t="s">
        <v>20</v>
      </c>
    </row>
    <row r="184" spans="1:14" x14ac:dyDescent="0.25">
      <c r="A184" t="s">
        <v>14</v>
      </c>
      <c r="B184" t="s">
        <v>15</v>
      </c>
      <c r="C184" t="s">
        <v>46</v>
      </c>
      <c r="D184" t="s">
        <v>180</v>
      </c>
      <c r="E184" t="s">
        <v>18</v>
      </c>
      <c r="F184" t="s">
        <v>181</v>
      </c>
      <c r="G184">
        <v>139480.9</v>
      </c>
      <c r="H184">
        <v>12594.15</v>
      </c>
      <c r="I184">
        <v>3065.76</v>
      </c>
      <c r="J184" t="s">
        <v>36</v>
      </c>
      <c r="K184">
        <v>1</v>
      </c>
      <c r="L184">
        <v>8</v>
      </c>
      <c r="M184" t="s">
        <v>177</v>
      </c>
      <c r="N184" t="s">
        <v>43</v>
      </c>
    </row>
    <row r="185" spans="1:14" x14ac:dyDescent="0.25">
      <c r="A185" t="s">
        <v>21</v>
      </c>
      <c r="B185" t="s">
        <v>22</v>
      </c>
      <c r="C185" t="s">
        <v>111</v>
      </c>
      <c r="D185" t="s">
        <v>182</v>
      </c>
      <c r="E185" t="s">
        <v>18</v>
      </c>
      <c r="F185">
        <v>119391.33</v>
      </c>
      <c r="G185">
        <v>181592.39</v>
      </c>
      <c r="H185">
        <v>434562.45</v>
      </c>
      <c r="I185">
        <v>116940.75</v>
      </c>
      <c r="J185" t="s">
        <v>41</v>
      </c>
      <c r="K185">
        <v>4</v>
      </c>
      <c r="L185">
        <v>5</v>
      </c>
      <c r="M185" t="s">
        <v>92</v>
      </c>
      <c r="N185" t="s">
        <v>105</v>
      </c>
    </row>
    <row r="186" spans="1:14" x14ac:dyDescent="0.25">
      <c r="A186" t="s">
        <v>27</v>
      </c>
      <c r="B186" t="s">
        <v>28</v>
      </c>
      <c r="C186" t="s">
        <v>46</v>
      </c>
      <c r="D186" t="s">
        <v>183</v>
      </c>
      <c r="E186" t="s">
        <v>18</v>
      </c>
      <c r="F186" t="s">
        <v>184</v>
      </c>
      <c r="G186">
        <v>99842.46</v>
      </c>
      <c r="H186">
        <v>2762110</v>
      </c>
      <c r="I186">
        <v>86912.77</v>
      </c>
      <c r="J186" t="s">
        <v>25</v>
      </c>
      <c r="K186">
        <v>4</v>
      </c>
      <c r="L186">
        <v>3</v>
      </c>
      <c r="M186" t="s">
        <v>42</v>
      </c>
      <c r="N186" t="s">
        <v>110</v>
      </c>
    </row>
    <row r="187" spans="1:14" x14ac:dyDescent="0.25">
      <c r="A187" t="s">
        <v>32</v>
      </c>
      <c r="B187" t="s">
        <v>33</v>
      </c>
      <c r="C187" t="s">
        <v>111</v>
      </c>
      <c r="D187" t="s">
        <v>183</v>
      </c>
      <c r="E187" t="s">
        <v>18</v>
      </c>
      <c r="F187">
        <v>156619.53</v>
      </c>
      <c r="G187">
        <v>156362.89000000001</v>
      </c>
      <c r="H187">
        <v>472010.13</v>
      </c>
      <c r="I187">
        <v>85708.44</v>
      </c>
      <c r="J187" t="s">
        <v>53</v>
      </c>
      <c r="K187">
        <v>4</v>
      </c>
      <c r="L187">
        <v>3</v>
      </c>
      <c r="M187" t="s">
        <v>54</v>
      </c>
      <c r="N187" t="s">
        <v>127</v>
      </c>
    </row>
    <row r="188" spans="1:14" x14ac:dyDescent="0.25">
      <c r="A188" t="s">
        <v>39</v>
      </c>
      <c r="B188" t="s">
        <v>40</v>
      </c>
      <c r="C188" t="s">
        <v>34</v>
      </c>
      <c r="D188" t="s">
        <v>182</v>
      </c>
      <c r="E188" t="s">
        <v>18</v>
      </c>
      <c r="F188" t="s">
        <v>185</v>
      </c>
      <c r="G188">
        <v>168200.13</v>
      </c>
      <c r="H188">
        <v>561026.27</v>
      </c>
      <c r="I188">
        <v>116280.27</v>
      </c>
      <c r="J188" t="s">
        <v>19</v>
      </c>
      <c r="K188">
        <v>5</v>
      </c>
      <c r="L188">
        <v>4</v>
      </c>
      <c r="M188" t="s">
        <v>58</v>
      </c>
    </row>
    <row r="189" spans="1:14" x14ac:dyDescent="0.25">
      <c r="A189" t="s">
        <v>44</v>
      </c>
      <c r="B189" t="s">
        <v>45</v>
      </c>
      <c r="C189" t="s">
        <v>16</v>
      </c>
      <c r="D189" t="s">
        <v>183</v>
      </c>
      <c r="E189" t="s">
        <v>123</v>
      </c>
      <c r="F189">
        <v>92611.57</v>
      </c>
      <c r="G189">
        <v>92680.95</v>
      </c>
      <c r="H189">
        <v>441011.54</v>
      </c>
      <c r="I189">
        <v>113625.61</v>
      </c>
      <c r="J189" t="s">
        <v>53</v>
      </c>
      <c r="K189">
        <v>3</v>
      </c>
      <c r="L189">
        <v>2</v>
      </c>
      <c r="M189" t="s">
        <v>30</v>
      </c>
      <c r="N189" t="s">
        <v>115</v>
      </c>
    </row>
    <row r="190" spans="1:14" x14ac:dyDescent="0.25">
      <c r="A190" t="s">
        <v>55</v>
      </c>
      <c r="B190" t="s">
        <v>56</v>
      </c>
      <c r="C190" t="s">
        <v>51</v>
      </c>
      <c r="D190" t="s">
        <v>186</v>
      </c>
      <c r="E190" t="s">
        <v>18</v>
      </c>
      <c r="F190">
        <v>68831.92</v>
      </c>
      <c r="G190">
        <v>67416.69</v>
      </c>
      <c r="H190">
        <v>336431.34</v>
      </c>
      <c r="I190">
        <v>102484.24</v>
      </c>
      <c r="J190" t="s">
        <v>25</v>
      </c>
      <c r="K190">
        <v>3</v>
      </c>
      <c r="L190">
        <v>8</v>
      </c>
      <c r="M190" t="s">
        <v>58</v>
      </c>
      <c r="N190" t="s">
        <v>125</v>
      </c>
    </row>
    <row r="191" spans="1:14" x14ac:dyDescent="0.25">
      <c r="A191" t="s">
        <v>59</v>
      </c>
      <c r="B191" t="s">
        <v>60</v>
      </c>
      <c r="C191" t="s">
        <v>114</v>
      </c>
      <c r="D191" t="s">
        <v>183</v>
      </c>
      <c r="E191" t="s">
        <v>72</v>
      </c>
      <c r="F191">
        <v>100065.35</v>
      </c>
      <c r="G191">
        <v>48137.8</v>
      </c>
      <c r="H191">
        <v>478118.96</v>
      </c>
      <c r="I191">
        <v>132305.26</v>
      </c>
      <c r="J191" t="s">
        <v>104</v>
      </c>
      <c r="K191">
        <v>4</v>
      </c>
      <c r="L191">
        <v>7</v>
      </c>
      <c r="M191" t="s">
        <v>20</v>
      </c>
      <c r="N191" t="s">
        <v>31</v>
      </c>
    </row>
    <row r="192" spans="1:14" x14ac:dyDescent="0.25">
      <c r="A192" t="s">
        <v>62</v>
      </c>
      <c r="B192" t="s">
        <v>63</v>
      </c>
      <c r="C192" t="s">
        <v>51</v>
      </c>
      <c r="D192" t="s">
        <v>186</v>
      </c>
      <c r="E192" t="s">
        <v>18</v>
      </c>
      <c r="F192">
        <v>30741.61</v>
      </c>
      <c r="G192">
        <v>32100.39</v>
      </c>
      <c r="H192">
        <v>152009.25</v>
      </c>
      <c r="I192">
        <v>36103.89</v>
      </c>
      <c r="J192" t="s">
        <v>53</v>
      </c>
      <c r="K192">
        <v>5</v>
      </c>
      <c r="L192">
        <v>4</v>
      </c>
      <c r="M192" t="s">
        <v>54</v>
      </c>
    </row>
    <row r="193" spans="1:14" x14ac:dyDescent="0.25">
      <c r="A193" t="s">
        <v>66</v>
      </c>
      <c r="B193" t="s">
        <v>67</v>
      </c>
      <c r="C193" t="s">
        <v>114</v>
      </c>
      <c r="D193" t="s">
        <v>180</v>
      </c>
      <c r="E193" t="s">
        <v>18</v>
      </c>
      <c r="F193">
        <v>66774.84</v>
      </c>
      <c r="G193">
        <v>62861.66</v>
      </c>
      <c r="H193">
        <v>251335.09</v>
      </c>
      <c r="I193">
        <v>66425.84</v>
      </c>
      <c r="J193" t="s">
        <v>53</v>
      </c>
      <c r="K193">
        <v>2</v>
      </c>
      <c r="L193">
        <v>3</v>
      </c>
      <c r="M193" t="s">
        <v>20</v>
      </c>
      <c r="N193" t="s">
        <v>105</v>
      </c>
    </row>
    <row r="194" spans="1:14" x14ac:dyDescent="0.25">
      <c r="A194" t="s">
        <v>68</v>
      </c>
      <c r="B194" t="s">
        <v>69</v>
      </c>
      <c r="C194" t="s">
        <v>51</v>
      </c>
      <c r="D194" t="s">
        <v>186</v>
      </c>
      <c r="E194" t="s">
        <v>18</v>
      </c>
      <c r="F194">
        <v>956651</v>
      </c>
      <c r="G194">
        <v>57147.839999999997</v>
      </c>
      <c r="H194">
        <v>262945.63</v>
      </c>
      <c r="I194">
        <v>52636.5</v>
      </c>
      <c r="J194" t="s">
        <v>77</v>
      </c>
      <c r="K194">
        <v>4</v>
      </c>
      <c r="L194">
        <v>2</v>
      </c>
      <c r="M194" t="s">
        <v>112</v>
      </c>
    </row>
    <row r="195" spans="1:14" x14ac:dyDescent="0.25">
      <c r="A195" t="s">
        <v>74</v>
      </c>
      <c r="B195" t="s">
        <v>75</v>
      </c>
      <c r="C195" t="s">
        <v>57</v>
      </c>
      <c r="D195" t="s">
        <v>182</v>
      </c>
      <c r="E195" t="s">
        <v>123</v>
      </c>
      <c r="F195">
        <v>70288.460000000006</v>
      </c>
      <c r="G195">
        <v>74087.03</v>
      </c>
      <c r="H195">
        <v>320745.76</v>
      </c>
      <c r="I195">
        <v>103772.15</v>
      </c>
      <c r="J195" t="s">
        <v>36</v>
      </c>
      <c r="K195">
        <v>3</v>
      </c>
      <c r="L195">
        <v>6</v>
      </c>
      <c r="M195" t="s">
        <v>54</v>
      </c>
      <c r="N195" t="s">
        <v>95</v>
      </c>
    </row>
    <row r="196" spans="1:14" x14ac:dyDescent="0.25">
      <c r="A196" t="s">
        <v>78</v>
      </c>
      <c r="B196" t="s">
        <v>79</v>
      </c>
      <c r="C196" t="s">
        <v>137</v>
      </c>
      <c r="D196" t="s">
        <v>187</v>
      </c>
      <c r="E196" t="s">
        <v>18</v>
      </c>
      <c r="F196">
        <v>34039.71</v>
      </c>
      <c r="G196">
        <v>32623.55</v>
      </c>
      <c r="H196">
        <v>116917.07</v>
      </c>
      <c r="I196">
        <v>38871.31</v>
      </c>
      <c r="J196" t="s">
        <v>53</v>
      </c>
      <c r="K196">
        <v>9</v>
      </c>
      <c r="L196">
        <v>10</v>
      </c>
      <c r="M196" t="s">
        <v>20</v>
      </c>
      <c r="N196" t="s">
        <v>101</v>
      </c>
    </row>
    <row r="197" spans="1:14" x14ac:dyDescent="0.25">
      <c r="A197" t="s">
        <v>82</v>
      </c>
      <c r="B197" t="s">
        <v>83</v>
      </c>
      <c r="C197" t="s">
        <v>116</v>
      </c>
      <c r="D197" t="s">
        <v>183</v>
      </c>
      <c r="E197" t="s">
        <v>18</v>
      </c>
      <c r="F197" t="s">
        <v>188</v>
      </c>
      <c r="G197">
        <v>8279.0300000000007</v>
      </c>
      <c r="H197">
        <v>42664.07</v>
      </c>
      <c r="I197">
        <v>10996.92</v>
      </c>
      <c r="J197" t="s">
        <v>77</v>
      </c>
      <c r="K197">
        <v>11</v>
      </c>
      <c r="L197">
        <v>11</v>
      </c>
      <c r="M197" t="s">
        <v>92</v>
      </c>
      <c r="N197" t="s">
        <v>125</v>
      </c>
    </row>
    <row r="198" spans="1:14" x14ac:dyDescent="0.25">
      <c r="A198" t="s">
        <v>84</v>
      </c>
      <c r="B198" t="s">
        <v>85</v>
      </c>
      <c r="C198" t="s">
        <v>80</v>
      </c>
      <c r="D198" t="s">
        <v>180</v>
      </c>
      <c r="E198" t="s">
        <v>18</v>
      </c>
      <c r="F198">
        <v>12688.56</v>
      </c>
      <c r="G198">
        <v>13488.56</v>
      </c>
      <c r="H198">
        <v>44010.44</v>
      </c>
      <c r="I198">
        <v>14526.01</v>
      </c>
      <c r="J198" t="s">
        <v>25</v>
      </c>
      <c r="K198">
        <v>10</v>
      </c>
      <c r="L198">
        <v>3</v>
      </c>
      <c r="M198" t="s">
        <v>130</v>
      </c>
    </row>
    <row r="199" spans="1:14" x14ac:dyDescent="0.25">
      <c r="A199" t="s">
        <v>87</v>
      </c>
      <c r="B199" t="s">
        <v>88</v>
      </c>
      <c r="C199" t="s">
        <v>126</v>
      </c>
      <c r="D199" t="s">
        <v>187</v>
      </c>
      <c r="E199" t="s">
        <v>18</v>
      </c>
      <c r="F199">
        <v>28207.53</v>
      </c>
      <c r="G199">
        <v>27073.09</v>
      </c>
      <c r="H199">
        <v>109149.44</v>
      </c>
      <c r="I199">
        <v>33318.870000000003</v>
      </c>
      <c r="J199" t="s">
        <v>41</v>
      </c>
      <c r="K199">
        <v>10</v>
      </c>
      <c r="L199">
        <v>13</v>
      </c>
      <c r="M199" t="s">
        <v>58</v>
      </c>
    </row>
    <row r="200" spans="1:14" x14ac:dyDescent="0.25">
      <c r="A200" t="s">
        <v>90</v>
      </c>
      <c r="B200" t="s">
        <v>91</v>
      </c>
      <c r="C200" t="s">
        <v>86</v>
      </c>
      <c r="D200" t="s">
        <v>186</v>
      </c>
      <c r="E200" t="s">
        <v>24</v>
      </c>
      <c r="F200">
        <v>25195.69</v>
      </c>
      <c r="G200">
        <v>26255.69</v>
      </c>
      <c r="H200">
        <v>85176.41</v>
      </c>
      <c r="I200">
        <v>23594.59</v>
      </c>
      <c r="J200" t="s">
        <v>36</v>
      </c>
      <c r="K200">
        <v>12</v>
      </c>
      <c r="L200">
        <v>14</v>
      </c>
      <c r="M200" t="s">
        <v>54</v>
      </c>
      <c r="N200" t="s">
        <v>125</v>
      </c>
    </row>
    <row r="201" spans="1:14" x14ac:dyDescent="0.25">
      <c r="A201" t="s">
        <v>93</v>
      </c>
      <c r="B201" t="s">
        <v>94</v>
      </c>
      <c r="C201" t="s">
        <v>89</v>
      </c>
      <c r="D201" t="s">
        <v>186</v>
      </c>
      <c r="E201" t="s">
        <v>18</v>
      </c>
      <c r="F201">
        <v>34551.089999999997</v>
      </c>
      <c r="G201">
        <v>19890.669999999998</v>
      </c>
      <c r="H201">
        <v>7352.65</v>
      </c>
      <c r="I201">
        <v>1451.57</v>
      </c>
      <c r="J201" t="s">
        <v>25</v>
      </c>
      <c r="K201">
        <v>12</v>
      </c>
      <c r="L201">
        <v>5</v>
      </c>
      <c r="M201" t="s">
        <v>58</v>
      </c>
      <c r="N201" t="s">
        <v>38</v>
      </c>
    </row>
    <row r="202" spans="1:14" x14ac:dyDescent="0.25">
      <c r="A202" t="s">
        <v>96</v>
      </c>
      <c r="B202" t="s">
        <v>97</v>
      </c>
      <c r="C202" t="s">
        <v>80</v>
      </c>
      <c r="D202" t="s">
        <v>180</v>
      </c>
      <c r="E202" t="s">
        <v>72</v>
      </c>
      <c r="F202">
        <v>29279.01</v>
      </c>
      <c r="G202">
        <v>30363.21</v>
      </c>
      <c r="H202">
        <v>77135.72</v>
      </c>
      <c r="I202">
        <v>16547.53</v>
      </c>
      <c r="J202" t="s">
        <v>41</v>
      </c>
      <c r="K202">
        <v>9</v>
      </c>
      <c r="L202">
        <v>10</v>
      </c>
      <c r="M202" t="s">
        <v>42</v>
      </c>
    </row>
    <row r="203" spans="1:14" x14ac:dyDescent="0.25">
      <c r="A203" t="s">
        <v>14</v>
      </c>
      <c r="B203" t="s">
        <v>15</v>
      </c>
      <c r="C203" t="s">
        <v>16</v>
      </c>
      <c r="D203" t="s">
        <v>189</v>
      </c>
      <c r="E203" t="s">
        <v>24</v>
      </c>
      <c r="F203">
        <v>85688.79</v>
      </c>
      <c r="G203">
        <v>84477.43</v>
      </c>
      <c r="H203">
        <v>242085.09</v>
      </c>
      <c r="I203">
        <v>54070.37</v>
      </c>
      <c r="J203" t="s">
        <v>25</v>
      </c>
      <c r="K203">
        <v>3</v>
      </c>
      <c r="L203">
        <v>5</v>
      </c>
      <c r="M203" t="s">
        <v>58</v>
      </c>
    </row>
    <row r="204" spans="1:14" x14ac:dyDescent="0.25">
      <c r="A204" t="s">
        <v>21</v>
      </c>
      <c r="B204" t="s">
        <v>22</v>
      </c>
      <c r="C204" t="s">
        <v>29</v>
      </c>
      <c r="D204" t="s">
        <v>190</v>
      </c>
      <c r="E204" t="s">
        <v>18</v>
      </c>
      <c r="F204">
        <v>67423.41</v>
      </c>
      <c r="G204">
        <v>121192.49</v>
      </c>
      <c r="H204">
        <v>301089.06</v>
      </c>
      <c r="I204">
        <v>81993.67</v>
      </c>
      <c r="J204" t="s">
        <v>77</v>
      </c>
      <c r="K204">
        <v>4</v>
      </c>
      <c r="L204">
        <v>2</v>
      </c>
      <c r="M204" t="s">
        <v>58</v>
      </c>
      <c r="N204" t="s">
        <v>113</v>
      </c>
    </row>
    <row r="205" spans="1:14" x14ac:dyDescent="0.25">
      <c r="A205" t="s">
        <v>27</v>
      </c>
      <c r="B205" t="s">
        <v>28</v>
      </c>
      <c r="C205" t="s">
        <v>34</v>
      </c>
      <c r="D205" t="s">
        <v>191</v>
      </c>
      <c r="E205" t="s">
        <v>18</v>
      </c>
      <c r="F205">
        <v>128441.02</v>
      </c>
      <c r="G205">
        <v>126306.62</v>
      </c>
      <c r="H205">
        <v>629006.77</v>
      </c>
      <c r="I205">
        <v>147539.38</v>
      </c>
      <c r="J205" t="s">
        <v>25</v>
      </c>
      <c r="K205">
        <v>1</v>
      </c>
      <c r="L205">
        <v>4</v>
      </c>
      <c r="M205" t="s">
        <v>54</v>
      </c>
      <c r="N205" t="s">
        <v>115</v>
      </c>
    </row>
    <row r="206" spans="1:14" x14ac:dyDescent="0.25">
      <c r="A206" t="s">
        <v>32</v>
      </c>
      <c r="B206" t="s">
        <v>33</v>
      </c>
      <c r="C206" t="s">
        <v>29</v>
      </c>
      <c r="D206" t="s">
        <v>192</v>
      </c>
      <c r="E206" t="s">
        <v>109</v>
      </c>
      <c r="F206">
        <v>171213.95</v>
      </c>
      <c r="G206">
        <v>169244.99</v>
      </c>
      <c r="H206">
        <v>833902.59</v>
      </c>
      <c r="I206">
        <v>285667.46999999997</v>
      </c>
      <c r="J206" t="s">
        <v>19</v>
      </c>
      <c r="K206">
        <v>5</v>
      </c>
      <c r="L206">
        <v>2</v>
      </c>
      <c r="M206" t="s">
        <v>30</v>
      </c>
      <c r="N206" t="s">
        <v>65</v>
      </c>
    </row>
    <row r="207" spans="1:14" x14ac:dyDescent="0.25">
      <c r="A207" t="s">
        <v>39</v>
      </c>
      <c r="B207" t="s">
        <v>40</v>
      </c>
      <c r="C207" t="s">
        <v>46</v>
      </c>
      <c r="D207" t="s">
        <v>189</v>
      </c>
      <c r="E207" t="s">
        <v>18</v>
      </c>
      <c r="F207">
        <v>211565.16</v>
      </c>
      <c r="G207">
        <v>214908.1</v>
      </c>
      <c r="H207">
        <v>541476.13</v>
      </c>
      <c r="I207">
        <v>100953.17</v>
      </c>
      <c r="J207" t="s">
        <v>25</v>
      </c>
      <c r="K207">
        <v>1</v>
      </c>
      <c r="L207">
        <v>3</v>
      </c>
      <c r="M207" t="s">
        <v>42</v>
      </c>
      <c r="N207" t="s">
        <v>81</v>
      </c>
    </row>
    <row r="208" spans="1:14" x14ac:dyDescent="0.25">
      <c r="A208" t="s">
        <v>49</v>
      </c>
      <c r="B208" t="s">
        <v>50</v>
      </c>
      <c r="C208" t="s">
        <v>57</v>
      </c>
      <c r="D208" t="s">
        <v>189</v>
      </c>
      <c r="E208" t="s">
        <v>18</v>
      </c>
      <c r="F208">
        <v>45832.71</v>
      </c>
      <c r="G208">
        <v>81548.72</v>
      </c>
      <c r="H208">
        <v>194890.1</v>
      </c>
      <c r="I208">
        <v>65827.66</v>
      </c>
      <c r="J208" t="s">
        <v>41</v>
      </c>
      <c r="K208">
        <v>1</v>
      </c>
      <c r="L208">
        <v>1</v>
      </c>
      <c r="M208" t="s">
        <v>42</v>
      </c>
    </row>
    <row r="209" spans="1:14" x14ac:dyDescent="0.25">
      <c r="A209" t="s">
        <v>55</v>
      </c>
      <c r="B209" t="s">
        <v>56</v>
      </c>
      <c r="C209" t="s">
        <v>57</v>
      </c>
      <c r="D209" t="s">
        <v>189</v>
      </c>
      <c r="E209" t="s">
        <v>18</v>
      </c>
      <c r="F209" t="s">
        <v>193</v>
      </c>
      <c r="G209">
        <v>77469.23</v>
      </c>
      <c r="H209">
        <v>366570.76</v>
      </c>
      <c r="I209">
        <v>108189.38</v>
      </c>
      <c r="J209" t="s">
        <v>36</v>
      </c>
      <c r="K209">
        <v>6</v>
      </c>
      <c r="L209">
        <v>5</v>
      </c>
      <c r="M209" t="s">
        <v>30</v>
      </c>
      <c r="N209" t="s">
        <v>101</v>
      </c>
    </row>
    <row r="210" spans="1:14" x14ac:dyDescent="0.25">
      <c r="A210" t="s">
        <v>59</v>
      </c>
      <c r="B210" t="s">
        <v>60</v>
      </c>
      <c r="C210" t="s">
        <v>51</v>
      </c>
      <c r="D210" t="s">
        <v>194</v>
      </c>
      <c r="E210" t="s">
        <v>18</v>
      </c>
      <c r="F210">
        <v>112951.7</v>
      </c>
      <c r="G210">
        <v>61809.75</v>
      </c>
      <c r="H210">
        <v>327829.40999999997</v>
      </c>
      <c r="I210">
        <v>105530.65</v>
      </c>
      <c r="J210" t="s">
        <v>77</v>
      </c>
      <c r="K210">
        <v>2</v>
      </c>
      <c r="L210">
        <v>3</v>
      </c>
      <c r="M210" t="s">
        <v>54</v>
      </c>
    </row>
    <row r="211" spans="1:14" x14ac:dyDescent="0.25">
      <c r="A211" t="s">
        <v>62</v>
      </c>
      <c r="B211" t="s">
        <v>63</v>
      </c>
      <c r="C211" t="s">
        <v>57</v>
      </c>
      <c r="D211" t="s">
        <v>191</v>
      </c>
      <c r="E211" t="s">
        <v>18</v>
      </c>
      <c r="F211">
        <v>51428.3</v>
      </c>
      <c r="G211">
        <v>52485.43</v>
      </c>
      <c r="H211">
        <v>141433.62</v>
      </c>
      <c r="I211">
        <v>47100.25</v>
      </c>
      <c r="J211" t="s">
        <v>41</v>
      </c>
      <c r="K211">
        <v>3</v>
      </c>
      <c r="L211">
        <v>4</v>
      </c>
      <c r="M211" t="s">
        <v>42</v>
      </c>
      <c r="N211" t="s">
        <v>113</v>
      </c>
    </row>
    <row r="212" spans="1:14" x14ac:dyDescent="0.25">
      <c r="A212" t="s">
        <v>66</v>
      </c>
      <c r="B212" t="s">
        <v>67</v>
      </c>
      <c r="C212" t="s">
        <v>61</v>
      </c>
      <c r="D212" t="s">
        <v>190</v>
      </c>
      <c r="E212" t="s">
        <v>109</v>
      </c>
      <c r="F212">
        <v>77139.61</v>
      </c>
      <c r="G212">
        <v>79103.88</v>
      </c>
      <c r="H212">
        <v>246206.45</v>
      </c>
      <c r="I212">
        <v>72761.06</v>
      </c>
      <c r="J212" t="s">
        <v>53</v>
      </c>
      <c r="K212">
        <v>3</v>
      </c>
      <c r="L212">
        <v>7</v>
      </c>
      <c r="M212" t="s">
        <v>20</v>
      </c>
      <c r="N212" t="s">
        <v>43</v>
      </c>
    </row>
    <row r="213" spans="1:14" x14ac:dyDescent="0.25">
      <c r="A213" t="s">
        <v>68</v>
      </c>
      <c r="B213" t="s">
        <v>69</v>
      </c>
      <c r="C213" t="s">
        <v>57</v>
      </c>
      <c r="D213" t="s">
        <v>195</v>
      </c>
      <c r="E213" t="s">
        <v>72</v>
      </c>
      <c r="F213">
        <v>41785.919999999998</v>
      </c>
      <c r="G213">
        <v>42956.98</v>
      </c>
      <c r="H213">
        <v>180455.13</v>
      </c>
      <c r="I213">
        <v>58545.03</v>
      </c>
      <c r="J213" t="s">
        <v>25</v>
      </c>
      <c r="K213">
        <v>6</v>
      </c>
      <c r="L213">
        <v>2</v>
      </c>
      <c r="M213" t="s">
        <v>54</v>
      </c>
      <c r="N213" t="s">
        <v>43</v>
      </c>
    </row>
    <row r="214" spans="1:14" x14ac:dyDescent="0.25">
      <c r="A214" t="s">
        <v>74</v>
      </c>
      <c r="B214" t="s">
        <v>75</v>
      </c>
      <c r="C214" t="s">
        <v>57</v>
      </c>
      <c r="D214" t="s">
        <v>189</v>
      </c>
      <c r="E214" t="s">
        <v>72</v>
      </c>
      <c r="F214">
        <v>43398.400000000001</v>
      </c>
      <c r="G214">
        <v>44815.68</v>
      </c>
      <c r="H214">
        <v>123021.58</v>
      </c>
      <c r="I214">
        <v>24037.7</v>
      </c>
      <c r="J214" t="s">
        <v>41</v>
      </c>
      <c r="K214">
        <v>3</v>
      </c>
      <c r="L214">
        <v>5</v>
      </c>
      <c r="M214" t="s">
        <v>58</v>
      </c>
    </row>
    <row r="215" spans="1:14" x14ac:dyDescent="0.25">
      <c r="A215" t="s">
        <v>78</v>
      </c>
      <c r="B215" t="s">
        <v>79</v>
      </c>
      <c r="C215" t="s">
        <v>116</v>
      </c>
      <c r="D215" t="s">
        <v>194</v>
      </c>
      <c r="E215" t="s">
        <v>18</v>
      </c>
      <c r="F215" t="s">
        <v>196</v>
      </c>
      <c r="G215">
        <v>9566.76</v>
      </c>
      <c r="H215">
        <v>24157.07</v>
      </c>
      <c r="I215">
        <v>4524.07</v>
      </c>
      <c r="J215" t="s">
        <v>19</v>
      </c>
      <c r="K215">
        <v>5</v>
      </c>
      <c r="L215">
        <v>5</v>
      </c>
      <c r="M215" t="s">
        <v>42</v>
      </c>
      <c r="N215" t="s">
        <v>31</v>
      </c>
    </row>
    <row r="216" spans="1:14" x14ac:dyDescent="0.25">
      <c r="A216" t="s">
        <v>82</v>
      </c>
      <c r="B216" t="s">
        <v>83</v>
      </c>
      <c r="C216" t="s">
        <v>80</v>
      </c>
      <c r="D216" t="s">
        <v>195</v>
      </c>
      <c r="E216" t="s">
        <v>18</v>
      </c>
      <c r="F216">
        <v>19905.07</v>
      </c>
      <c r="G216">
        <v>11105.17</v>
      </c>
      <c r="H216">
        <v>79007.16</v>
      </c>
      <c r="I216">
        <v>15266.74</v>
      </c>
      <c r="J216" t="s">
        <v>77</v>
      </c>
      <c r="K216">
        <v>6</v>
      </c>
      <c r="L216">
        <v>7</v>
      </c>
      <c r="M216" t="s">
        <v>58</v>
      </c>
      <c r="N216" t="s">
        <v>43</v>
      </c>
    </row>
    <row r="217" spans="1:14" x14ac:dyDescent="0.25">
      <c r="A217" t="s">
        <v>84</v>
      </c>
      <c r="B217" t="s">
        <v>85</v>
      </c>
      <c r="C217" t="s">
        <v>86</v>
      </c>
      <c r="D217" t="s">
        <v>189</v>
      </c>
      <c r="E217" t="s">
        <v>18</v>
      </c>
      <c r="F217">
        <v>14209.75</v>
      </c>
      <c r="G217">
        <v>14251.08</v>
      </c>
      <c r="H217">
        <v>43038.39</v>
      </c>
      <c r="I217">
        <v>10397.120000000001</v>
      </c>
      <c r="J217" t="s">
        <v>104</v>
      </c>
      <c r="K217">
        <v>3</v>
      </c>
      <c r="L217">
        <v>6</v>
      </c>
      <c r="M217" t="s">
        <v>130</v>
      </c>
      <c r="N217" t="s">
        <v>105</v>
      </c>
    </row>
    <row r="218" spans="1:14" x14ac:dyDescent="0.25">
      <c r="A218" t="s">
        <v>90</v>
      </c>
      <c r="B218" t="s">
        <v>91</v>
      </c>
      <c r="C218" t="s">
        <v>80</v>
      </c>
      <c r="D218" t="s">
        <v>189</v>
      </c>
      <c r="E218" t="s">
        <v>123</v>
      </c>
      <c r="F218">
        <v>12350.49</v>
      </c>
      <c r="G218">
        <v>12670.46</v>
      </c>
      <c r="H218">
        <v>58380.68</v>
      </c>
      <c r="I218">
        <v>12159.41</v>
      </c>
      <c r="J218" t="s">
        <v>25</v>
      </c>
      <c r="K218">
        <v>4</v>
      </c>
      <c r="L218">
        <v>2</v>
      </c>
      <c r="M218" t="s">
        <v>20</v>
      </c>
      <c r="N218" t="s">
        <v>125</v>
      </c>
    </row>
    <row r="219" spans="1:14" x14ac:dyDescent="0.25">
      <c r="A219" t="s">
        <v>93</v>
      </c>
      <c r="B219" t="s">
        <v>94</v>
      </c>
      <c r="C219" t="s">
        <v>80</v>
      </c>
      <c r="D219" t="s">
        <v>189</v>
      </c>
      <c r="E219" t="s">
        <v>18</v>
      </c>
      <c r="F219">
        <v>25930.23</v>
      </c>
      <c r="G219">
        <v>14313.71</v>
      </c>
      <c r="H219">
        <v>107587.68</v>
      </c>
      <c r="I219">
        <v>32611.09</v>
      </c>
      <c r="J219" t="s">
        <v>77</v>
      </c>
      <c r="K219">
        <v>7</v>
      </c>
      <c r="L219">
        <v>11</v>
      </c>
      <c r="M219" t="s">
        <v>64</v>
      </c>
      <c r="N219" t="s">
        <v>65</v>
      </c>
    </row>
    <row r="220" spans="1:14" x14ac:dyDescent="0.25">
      <c r="A220" t="s">
        <v>96</v>
      </c>
      <c r="B220" t="s">
        <v>97</v>
      </c>
      <c r="C220" t="s">
        <v>80</v>
      </c>
      <c r="D220" t="s">
        <v>189</v>
      </c>
      <c r="E220" t="s">
        <v>109</v>
      </c>
      <c r="F220">
        <v>24348.799999999999</v>
      </c>
      <c r="G220">
        <v>22777.919999999998</v>
      </c>
      <c r="H220" t="s">
        <v>197</v>
      </c>
      <c r="I220">
        <v>26327.05</v>
      </c>
      <c r="J220" t="s">
        <v>41</v>
      </c>
      <c r="K220">
        <v>3</v>
      </c>
      <c r="L220">
        <v>11</v>
      </c>
      <c r="M220" t="s">
        <v>58</v>
      </c>
    </row>
    <row r="221" spans="1:14" x14ac:dyDescent="0.25">
      <c r="A221" t="s">
        <v>14</v>
      </c>
      <c r="B221" t="s">
        <v>15</v>
      </c>
      <c r="C221" t="s">
        <v>118</v>
      </c>
      <c r="D221" t="s">
        <v>198</v>
      </c>
      <c r="E221" t="s">
        <v>18</v>
      </c>
      <c r="F221">
        <v>133373.10999999999</v>
      </c>
      <c r="G221">
        <v>134133.21</v>
      </c>
      <c r="H221">
        <v>475304.88</v>
      </c>
      <c r="I221">
        <v>147437.68</v>
      </c>
      <c r="J221" t="s">
        <v>104</v>
      </c>
      <c r="K221">
        <v>1</v>
      </c>
      <c r="L221">
        <v>2</v>
      </c>
      <c r="M221" t="s">
        <v>54</v>
      </c>
      <c r="N221" t="s">
        <v>38</v>
      </c>
    </row>
    <row r="222" spans="1:14" x14ac:dyDescent="0.25">
      <c r="A222" t="s">
        <v>21</v>
      </c>
      <c r="B222" t="s">
        <v>22</v>
      </c>
      <c r="C222" t="s">
        <v>29</v>
      </c>
      <c r="D222" t="s">
        <v>199</v>
      </c>
      <c r="E222" t="s">
        <v>18</v>
      </c>
      <c r="F222">
        <v>134643.51999999999</v>
      </c>
      <c r="G222">
        <v>215637.64</v>
      </c>
      <c r="H222">
        <v>424565.64</v>
      </c>
      <c r="I222">
        <v>117177.54</v>
      </c>
      <c r="J222" t="s">
        <v>36</v>
      </c>
      <c r="K222">
        <v>5</v>
      </c>
      <c r="L222">
        <v>5</v>
      </c>
      <c r="M222" t="s">
        <v>20</v>
      </c>
    </row>
    <row r="223" spans="1:14" x14ac:dyDescent="0.25">
      <c r="A223" t="s">
        <v>27</v>
      </c>
      <c r="B223" t="s">
        <v>28</v>
      </c>
      <c r="C223" t="s">
        <v>118</v>
      </c>
      <c r="D223" t="s">
        <v>200</v>
      </c>
      <c r="E223" t="s">
        <v>24</v>
      </c>
      <c r="F223">
        <v>178769.25</v>
      </c>
      <c r="G223">
        <v>181466.89</v>
      </c>
      <c r="H223">
        <v>781138.56</v>
      </c>
      <c r="I223">
        <v>233468.99</v>
      </c>
      <c r="J223" t="s">
        <v>104</v>
      </c>
      <c r="K223">
        <v>2</v>
      </c>
      <c r="L223">
        <v>2</v>
      </c>
      <c r="M223" t="s">
        <v>54</v>
      </c>
      <c r="N223" t="s">
        <v>26</v>
      </c>
    </row>
    <row r="224" spans="1:14" x14ac:dyDescent="0.25">
      <c r="A224" t="s">
        <v>32</v>
      </c>
      <c r="B224" t="s">
        <v>33</v>
      </c>
      <c r="C224" t="s">
        <v>46</v>
      </c>
      <c r="D224" t="s">
        <v>198</v>
      </c>
      <c r="E224" t="s">
        <v>24</v>
      </c>
      <c r="F224">
        <v>146033.60999999999</v>
      </c>
      <c r="G224">
        <v>146970.51999999999</v>
      </c>
      <c r="H224">
        <v>388478.78</v>
      </c>
      <c r="I224">
        <v>75212.12</v>
      </c>
      <c r="J224" t="s">
        <v>104</v>
      </c>
      <c r="K224">
        <v>1</v>
      </c>
      <c r="L224">
        <v>2</v>
      </c>
      <c r="M224" t="s">
        <v>20</v>
      </c>
      <c r="N224" t="s">
        <v>101</v>
      </c>
    </row>
    <row r="225" spans="1:14" x14ac:dyDescent="0.25">
      <c r="A225" t="s">
        <v>39</v>
      </c>
      <c r="B225" t="s">
        <v>40</v>
      </c>
      <c r="C225" t="s">
        <v>111</v>
      </c>
      <c r="D225" t="s">
        <v>201</v>
      </c>
      <c r="E225" t="s">
        <v>18</v>
      </c>
      <c r="F225">
        <v>210306.19</v>
      </c>
      <c r="G225">
        <v>210550.52</v>
      </c>
      <c r="H225">
        <v>543436.1</v>
      </c>
      <c r="I225">
        <v>145471.5</v>
      </c>
      <c r="J225" t="s">
        <v>19</v>
      </c>
      <c r="K225">
        <v>2</v>
      </c>
      <c r="L225">
        <v>4</v>
      </c>
      <c r="M225" t="s">
        <v>30</v>
      </c>
      <c r="N225" t="s">
        <v>38</v>
      </c>
    </row>
    <row r="226" spans="1:14" x14ac:dyDescent="0.25">
      <c r="A226" t="s">
        <v>44</v>
      </c>
      <c r="B226" t="s">
        <v>45</v>
      </c>
      <c r="C226" t="s">
        <v>111</v>
      </c>
      <c r="D226" t="s">
        <v>198</v>
      </c>
      <c r="E226" t="s">
        <v>18</v>
      </c>
      <c r="F226">
        <v>108043.45</v>
      </c>
      <c r="G226">
        <v>104692.32</v>
      </c>
      <c r="H226">
        <v>5618386</v>
      </c>
      <c r="I226">
        <v>157301.01999999999</v>
      </c>
      <c r="J226" t="s">
        <v>77</v>
      </c>
      <c r="K226">
        <v>5</v>
      </c>
      <c r="L226">
        <v>2</v>
      </c>
      <c r="M226" t="s">
        <v>99</v>
      </c>
      <c r="N226" t="s">
        <v>127</v>
      </c>
    </row>
    <row r="227" spans="1:14" x14ac:dyDescent="0.25">
      <c r="A227" t="s">
        <v>49</v>
      </c>
      <c r="B227" t="s">
        <v>50</v>
      </c>
      <c r="C227" t="s">
        <v>57</v>
      </c>
      <c r="D227" t="s">
        <v>202</v>
      </c>
      <c r="E227" t="s">
        <v>123</v>
      </c>
      <c r="F227">
        <v>47447.839999999997</v>
      </c>
      <c r="G227">
        <v>76862.399999999994</v>
      </c>
      <c r="H227">
        <v>222543.78</v>
      </c>
      <c r="I227">
        <v>61807.519999999997</v>
      </c>
      <c r="J227" t="s">
        <v>104</v>
      </c>
      <c r="K227">
        <v>6</v>
      </c>
      <c r="L227">
        <v>5</v>
      </c>
      <c r="M227" t="s">
        <v>20</v>
      </c>
    </row>
    <row r="228" spans="1:14" x14ac:dyDescent="0.25">
      <c r="A228" t="s">
        <v>55</v>
      </c>
      <c r="B228" t="s">
        <v>56</v>
      </c>
      <c r="C228" t="s">
        <v>76</v>
      </c>
      <c r="D228" t="s">
        <v>198</v>
      </c>
      <c r="E228" t="s">
        <v>18</v>
      </c>
      <c r="F228">
        <v>34053.26</v>
      </c>
      <c r="G228">
        <v>34599.449999999997</v>
      </c>
      <c r="H228">
        <v>142760.87</v>
      </c>
      <c r="I228">
        <v>33359.53</v>
      </c>
      <c r="J228" t="s">
        <v>41</v>
      </c>
      <c r="K228">
        <v>3</v>
      </c>
      <c r="L228">
        <v>4</v>
      </c>
      <c r="M228" t="s">
        <v>30</v>
      </c>
    </row>
    <row r="229" spans="1:14" x14ac:dyDescent="0.25">
      <c r="A229" t="s">
        <v>59</v>
      </c>
      <c r="B229" t="s">
        <v>60</v>
      </c>
      <c r="C229" t="s">
        <v>70</v>
      </c>
      <c r="D229" t="s">
        <v>200</v>
      </c>
      <c r="E229" t="s">
        <v>18</v>
      </c>
      <c r="F229">
        <v>56836.21</v>
      </c>
      <c r="G229">
        <v>32206.15</v>
      </c>
      <c r="H229">
        <v>212993.62</v>
      </c>
      <c r="I229">
        <v>64967.94</v>
      </c>
      <c r="J229" t="s">
        <v>77</v>
      </c>
      <c r="K229">
        <v>3</v>
      </c>
      <c r="L229">
        <v>4</v>
      </c>
      <c r="M229" t="s">
        <v>58</v>
      </c>
      <c r="N229" t="s">
        <v>113</v>
      </c>
    </row>
    <row r="230" spans="1:14" x14ac:dyDescent="0.25">
      <c r="A230" t="s">
        <v>62</v>
      </c>
      <c r="B230" t="s">
        <v>63</v>
      </c>
      <c r="C230" t="s">
        <v>70</v>
      </c>
      <c r="D230" t="s">
        <v>198</v>
      </c>
      <c r="E230" t="s">
        <v>18</v>
      </c>
      <c r="F230">
        <v>62488.44</v>
      </c>
      <c r="G230">
        <v>59056.05</v>
      </c>
      <c r="H230">
        <v>214209.82</v>
      </c>
      <c r="I230">
        <v>71263.45</v>
      </c>
      <c r="J230" t="s">
        <v>77</v>
      </c>
      <c r="K230">
        <v>5</v>
      </c>
      <c r="L230">
        <v>8</v>
      </c>
      <c r="M230" t="s">
        <v>20</v>
      </c>
      <c r="N230" t="s">
        <v>115</v>
      </c>
    </row>
    <row r="231" spans="1:14" x14ac:dyDescent="0.25">
      <c r="A231" t="s">
        <v>66</v>
      </c>
      <c r="B231" t="s">
        <v>67</v>
      </c>
      <c r="C231" t="s">
        <v>76</v>
      </c>
      <c r="D231" t="s">
        <v>201</v>
      </c>
      <c r="E231" t="s">
        <v>18</v>
      </c>
      <c r="F231">
        <v>53623.02</v>
      </c>
      <c r="G231">
        <v>54822.06</v>
      </c>
      <c r="H231">
        <v>195348.11</v>
      </c>
      <c r="I231">
        <v>52371.83</v>
      </c>
      <c r="J231" t="s">
        <v>36</v>
      </c>
      <c r="K231">
        <v>3</v>
      </c>
      <c r="L231">
        <v>3</v>
      </c>
      <c r="M231" t="s">
        <v>30</v>
      </c>
      <c r="N231" t="s">
        <v>105</v>
      </c>
    </row>
    <row r="232" spans="1:14" x14ac:dyDescent="0.25">
      <c r="A232" t="s">
        <v>68</v>
      </c>
      <c r="B232" t="s">
        <v>69</v>
      </c>
      <c r="C232" t="s">
        <v>114</v>
      </c>
      <c r="D232" t="s">
        <v>202</v>
      </c>
      <c r="E232" t="s">
        <v>18</v>
      </c>
      <c r="F232">
        <v>87511.61</v>
      </c>
      <c r="G232">
        <v>85863.9</v>
      </c>
      <c r="H232">
        <v>327899.44</v>
      </c>
      <c r="I232">
        <v>98081.66</v>
      </c>
      <c r="J232" t="s">
        <v>36</v>
      </c>
      <c r="K232">
        <v>3</v>
      </c>
      <c r="L232">
        <v>3</v>
      </c>
      <c r="M232" t="s">
        <v>20</v>
      </c>
      <c r="N232" t="s">
        <v>105</v>
      </c>
    </row>
    <row r="233" spans="1:14" x14ac:dyDescent="0.25">
      <c r="A233" t="s">
        <v>74</v>
      </c>
      <c r="B233" t="s">
        <v>75</v>
      </c>
      <c r="C233" t="s">
        <v>61</v>
      </c>
      <c r="D233" t="s">
        <v>198</v>
      </c>
      <c r="E233" t="s">
        <v>18</v>
      </c>
      <c r="F233">
        <v>81378.52</v>
      </c>
      <c r="G233">
        <v>78410.45</v>
      </c>
      <c r="H233">
        <v>10929.47</v>
      </c>
      <c r="I233">
        <v>2217.15</v>
      </c>
      <c r="J233" t="s">
        <v>41</v>
      </c>
      <c r="K233">
        <v>6</v>
      </c>
      <c r="L233">
        <v>3</v>
      </c>
      <c r="M233" t="s">
        <v>42</v>
      </c>
      <c r="N233" t="s">
        <v>31</v>
      </c>
    </row>
    <row r="234" spans="1:14" x14ac:dyDescent="0.25">
      <c r="A234" t="s">
        <v>78</v>
      </c>
      <c r="B234" t="s">
        <v>79</v>
      </c>
      <c r="C234" t="s">
        <v>137</v>
      </c>
      <c r="D234" t="s">
        <v>200</v>
      </c>
      <c r="E234" t="s">
        <v>24</v>
      </c>
      <c r="F234">
        <v>25006.28</v>
      </c>
      <c r="G234">
        <v>24755.49</v>
      </c>
      <c r="H234">
        <v>78755.350000000006</v>
      </c>
      <c r="I234">
        <v>21639.89</v>
      </c>
      <c r="J234" t="s">
        <v>53</v>
      </c>
      <c r="K234">
        <v>6</v>
      </c>
      <c r="L234">
        <v>7</v>
      </c>
      <c r="M234" t="s">
        <v>20</v>
      </c>
      <c r="N234" t="s">
        <v>73</v>
      </c>
    </row>
    <row r="235" spans="1:14" x14ac:dyDescent="0.25">
      <c r="A235" t="s">
        <v>82</v>
      </c>
      <c r="B235" t="s">
        <v>83</v>
      </c>
      <c r="C235" t="s">
        <v>116</v>
      </c>
      <c r="D235" t="s">
        <v>199</v>
      </c>
      <c r="E235" t="s">
        <v>18</v>
      </c>
      <c r="F235">
        <v>35957.01</v>
      </c>
      <c r="G235">
        <v>20041.87</v>
      </c>
      <c r="H235">
        <v>145056.32999999999</v>
      </c>
      <c r="I235">
        <v>49699.35</v>
      </c>
      <c r="J235" t="s">
        <v>19</v>
      </c>
      <c r="K235">
        <v>4</v>
      </c>
      <c r="L235">
        <v>8</v>
      </c>
      <c r="M235" t="s">
        <v>42</v>
      </c>
      <c r="N235" t="s">
        <v>31</v>
      </c>
    </row>
    <row r="236" spans="1:14" x14ac:dyDescent="0.25">
      <c r="A236" t="s">
        <v>84</v>
      </c>
      <c r="B236" t="s">
        <v>85</v>
      </c>
      <c r="C236" t="s">
        <v>137</v>
      </c>
      <c r="D236" t="s">
        <v>203</v>
      </c>
      <c r="E236" t="s">
        <v>123</v>
      </c>
      <c r="F236">
        <v>18677.29</v>
      </c>
      <c r="G236">
        <v>20125.5</v>
      </c>
      <c r="H236">
        <v>86980.46</v>
      </c>
      <c r="I236">
        <v>24335.08</v>
      </c>
      <c r="J236" t="s">
        <v>104</v>
      </c>
      <c r="K236">
        <v>9</v>
      </c>
      <c r="L236">
        <v>14</v>
      </c>
      <c r="M236" t="s">
        <v>58</v>
      </c>
      <c r="N236" t="s">
        <v>127</v>
      </c>
    </row>
    <row r="237" spans="1:14" x14ac:dyDescent="0.25">
      <c r="A237" t="s">
        <v>90</v>
      </c>
      <c r="B237" t="s">
        <v>91</v>
      </c>
      <c r="C237" t="s">
        <v>86</v>
      </c>
      <c r="D237" t="s">
        <v>201</v>
      </c>
      <c r="E237" t="s">
        <v>18</v>
      </c>
      <c r="F237">
        <v>22807.71</v>
      </c>
      <c r="G237">
        <v>20647.2</v>
      </c>
      <c r="H237">
        <v>86896.4</v>
      </c>
      <c r="I237">
        <v>17176.62</v>
      </c>
      <c r="J237" t="s">
        <v>104</v>
      </c>
      <c r="K237">
        <v>11</v>
      </c>
      <c r="L237">
        <v>8</v>
      </c>
      <c r="M237" t="s">
        <v>20</v>
      </c>
      <c r="N237" t="s">
        <v>115</v>
      </c>
    </row>
    <row r="238" spans="1:14" x14ac:dyDescent="0.25">
      <c r="A238" t="s">
        <v>93</v>
      </c>
      <c r="B238" t="s">
        <v>94</v>
      </c>
      <c r="C238" t="s">
        <v>116</v>
      </c>
      <c r="D238" t="s">
        <v>199</v>
      </c>
      <c r="E238" t="s">
        <v>18</v>
      </c>
      <c r="F238">
        <v>42085.97</v>
      </c>
      <c r="G238">
        <v>24257.8</v>
      </c>
      <c r="H238">
        <v>203575.92</v>
      </c>
      <c r="I238">
        <v>41319.71</v>
      </c>
      <c r="J238" t="s">
        <v>53</v>
      </c>
      <c r="K238">
        <v>10</v>
      </c>
      <c r="L238">
        <v>10</v>
      </c>
      <c r="M238" t="s">
        <v>54</v>
      </c>
      <c r="N238" t="s">
        <v>26</v>
      </c>
    </row>
    <row r="239" spans="1:14" x14ac:dyDescent="0.25">
      <c r="A239" t="s">
        <v>96</v>
      </c>
      <c r="B239" t="s">
        <v>97</v>
      </c>
      <c r="C239" t="s">
        <v>80</v>
      </c>
      <c r="D239" t="s">
        <v>203</v>
      </c>
      <c r="E239" t="s">
        <v>18</v>
      </c>
      <c r="F239">
        <v>17876.150000000001</v>
      </c>
      <c r="G239">
        <v>17017.400000000001</v>
      </c>
      <c r="H239">
        <v>45162.12</v>
      </c>
      <c r="I239">
        <v>13951.02</v>
      </c>
      <c r="J239" t="s">
        <v>53</v>
      </c>
      <c r="K239">
        <v>4</v>
      </c>
      <c r="L239">
        <v>6</v>
      </c>
      <c r="M239" t="s">
        <v>20</v>
      </c>
      <c r="N239" t="s">
        <v>73</v>
      </c>
    </row>
    <row r="240" spans="1:14" x14ac:dyDescent="0.25">
      <c r="A240" t="s">
        <v>14</v>
      </c>
      <c r="B240" t="s">
        <v>15</v>
      </c>
      <c r="C240" t="s">
        <v>118</v>
      </c>
      <c r="D240" t="s">
        <v>204</v>
      </c>
      <c r="E240" t="s">
        <v>205</v>
      </c>
      <c r="F240">
        <v>191547.43</v>
      </c>
      <c r="G240">
        <v>193025.02</v>
      </c>
      <c r="H240">
        <v>676035.96</v>
      </c>
      <c r="I240">
        <v>167053.79</v>
      </c>
      <c r="J240" t="s">
        <v>53</v>
      </c>
      <c r="K240">
        <v>2</v>
      </c>
      <c r="L240">
        <v>4</v>
      </c>
      <c r="M240" t="s">
        <v>20</v>
      </c>
      <c r="N240" t="s">
        <v>31</v>
      </c>
    </row>
    <row r="241" spans="1:14" x14ac:dyDescent="0.25">
      <c r="A241" t="s">
        <v>21</v>
      </c>
      <c r="B241" t="s">
        <v>22</v>
      </c>
      <c r="C241" t="s">
        <v>118</v>
      </c>
      <c r="D241" t="s">
        <v>204</v>
      </c>
      <c r="E241" t="s">
        <v>205</v>
      </c>
      <c r="F241">
        <v>139609.98000000001</v>
      </c>
      <c r="G241">
        <v>244369.07</v>
      </c>
      <c r="H241" t="s">
        <v>206</v>
      </c>
      <c r="I241">
        <v>102116.49</v>
      </c>
      <c r="J241" t="s">
        <v>36</v>
      </c>
      <c r="K241">
        <v>4</v>
      </c>
      <c r="L241">
        <v>3</v>
      </c>
      <c r="M241" t="s">
        <v>54</v>
      </c>
      <c r="N241" t="s">
        <v>31</v>
      </c>
    </row>
    <row r="242" spans="1:14" x14ac:dyDescent="0.25">
      <c r="A242" t="s">
        <v>27</v>
      </c>
      <c r="B242" t="s">
        <v>28</v>
      </c>
      <c r="C242" t="s">
        <v>111</v>
      </c>
      <c r="D242" t="s">
        <v>207</v>
      </c>
      <c r="E242" t="s">
        <v>205</v>
      </c>
      <c r="F242" t="s">
        <v>208</v>
      </c>
      <c r="G242">
        <v>130253.64</v>
      </c>
      <c r="H242">
        <v>406704.34</v>
      </c>
      <c r="I242">
        <v>96846.55</v>
      </c>
      <c r="J242" t="s">
        <v>104</v>
      </c>
      <c r="K242">
        <v>3</v>
      </c>
      <c r="L242">
        <v>2</v>
      </c>
      <c r="M242" t="s">
        <v>20</v>
      </c>
      <c r="N242" t="s">
        <v>31</v>
      </c>
    </row>
    <row r="243" spans="1:14" x14ac:dyDescent="0.25">
      <c r="A243" t="s">
        <v>32</v>
      </c>
      <c r="B243" t="s">
        <v>33</v>
      </c>
      <c r="C243" t="s">
        <v>118</v>
      </c>
      <c r="D243" t="s">
        <v>207</v>
      </c>
      <c r="E243" t="s">
        <v>205</v>
      </c>
      <c r="F243">
        <v>89993.86</v>
      </c>
      <c r="G243">
        <v>89564</v>
      </c>
      <c r="H243">
        <v>426503.16</v>
      </c>
      <c r="I243">
        <v>104437.04</v>
      </c>
      <c r="J243" t="s">
        <v>19</v>
      </c>
      <c r="K243">
        <v>1</v>
      </c>
      <c r="L243">
        <v>4</v>
      </c>
      <c r="M243" t="s">
        <v>58</v>
      </c>
      <c r="N243" t="s">
        <v>101</v>
      </c>
    </row>
    <row r="244" spans="1:14" x14ac:dyDescent="0.25">
      <c r="A244" t="s">
        <v>39</v>
      </c>
      <c r="B244" t="s">
        <v>40</v>
      </c>
      <c r="C244" t="s">
        <v>118</v>
      </c>
      <c r="D244" t="s">
        <v>209</v>
      </c>
      <c r="E244" t="s">
        <v>205</v>
      </c>
      <c r="F244">
        <v>175401.92</v>
      </c>
      <c r="G244">
        <v>170128.9</v>
      </c>
      <c r="H244">
        <v>508056.69</v>
      </c>
      <c r="I244">
        <v>155771.79999999999</v>
      </c>
      <c r="J244" t="s">
        <v>19</v>
      </c>
      <c r="K244">
        <v>5</v>
      </c>
      <c r="L244">
        <v>6</v>
      </c>
      <c r="M244" t="s">
        <v>42</v>
      </c>
      <c r="N244" t="s">
        <v>65</v>
      </c>
    </row>
    <row r="245" spans="1:14" x14ac:dyDescent="0.25">
      <c r="A245" t="s">
        <v>44</v>
      </c>
      <c r="B245" t="s">
        <v>45</v>
      </c>
      <c r="C245" t="s">
        <v>34</v>
      </c>
      <c r="D245" t="s">
        <v>210</v>
      </c>
      <c r="E245" t="s">
        <v>205</v>
      </c>
      <c r="F245">
        <v>103430.45</v>
      </c>
      <c r="G245">
        <v>99725.16</v>
      </c>
      <c r="H245">
        <v>360922.7</v>
      </c>
      <c r="I245">
        <v>124410.75</v>
      </c>
      <c r="J245" t="s">
        <v>53</v>
      </c>
      <c r="K245">
        <v>5</v>
      </c>
      <c r="L245">
        <v>2</v>
      </c>
      <c r="M245" t="s">
        <v>20</v>
      </c>
      <c r="N245" t="s">
        <v>115</v>
      </c>
    </row>
    <row r="246" spans="1:14" x14ac:dyDescent="0.25">
      <c r="A246" t="s">
        <v>49</v>
      </c>
      <c r="B246" t="s">
        <v>50</v>
      </c>
      <c r="C246" t="s">
        <v>76</v>
      </c>
      <c r="D246" t="s">
        <v>204</v>
      </c>
      <c r="E246" t="s">
        <v>205</v>
      </c>
      <c r="F246">
        <v>49504.24</v>
      </c>
      <c r="G246">
        <v>83705.56</v>
      </c>
      <c r="H246">
        <v>162960.48000000001</v>
      </c>
      <c r="I246">
        <v>47191.7</v>
      </c>
      <c r="J246" t="s">
        <v>19</v>
      </c>
      <c r="K246">
        <v>3</v>
      </c>
      <c r="L246">
        <v>4</v>
      </c>
      <c r="M246" t="s">
        <v>20</v>
      </c>
      <c r="N246" t="s">
        <v>110</v>
      </c>
    </row>
    <row r="247" spans="1:14" x14ac:dyDescent="0.25">
      <c r="A247" t="s">
        <v>55</v>
      </c>
      <c r="B247" t="s">
        <v>56</v>
      </c>
      <c r="C247" t="s">
        <v>70</v>
      </c>
      <c r="D247" t="s">
        <v>210</v>
      </c>
      <c r="E247" t="s">
        <v>205</v>
      </c>
      <c r="F247">
        <v>62564.04</v>
      </c>
      <c r="G247">
        <v>62378.080000000002</v>
      </c>
      <c r="H247">
        <v>241437.86</v>
      </c>
      <c r="I247">
        <v>62683.81</v>
      </c>
      <c r="J247" t="s">
        <v>53</v>
      </c>
      <c r="K247">
        <v>5</v>
      </c>
      <c r="L247">
        <v>3</v>
      </c>
      <c r="M247" t="s">
        <v>64</v>
      </c>
    </row>
    <row r="248" spans="1:14" x14ac:dyDescent="0.25">
      <c r="A248" t="s">
        <v>59</v>
      </c>
      <c r="B248" t="s">
        <v>60</v>
      </c>
      <c r="C248" t="s">
        <v>57</v>
      </c>
      <c r="D248" t="s">
        <v>210</v>
      </c>
      <c r="E248" t="s">
        <v>205</v>
      </c>
      <c r="F248">
        <v>56995.99</v>
      </c>
      <c r="G248">
        <v>30885.33</v>
      </c>
      <c r="H248">
        <v>188185.67</v>
      </c>
      <c r="I248">
        <v>64814.48</v>
      </c>
      <c r="J248" t="s">
        <v>104</v>
      </c>
      <c r="K248">
        <v>4</v>
      </c>
      <c r="L248">
        <v>4</v>
      </c>
      <c r="M248" t="s">
        <v>20</v>
      </c>
      <c r="N248" t="s">
        <v>115</v>
      </c>
    </row>
    <row r="249" spans="1:14" x14ac:dyDescent="0.25">
      <c r="A249" t="s">
        <v>62</v>
      </c>
      <c r="B249" t="s">
        <v>63</v>
      </c>
      <c r="C249" t="s">
        <v>57</v>
      </c>
      <c r="D249" t="s">
        <v>209</v>
      </c>
      <c r="E249" t="s">
        <v>205</v>
      </c>
      <c r="F249">
        <v>37786.46</v>
      </c>
      <c r="G249">
        <v>42020.35</v>
      </c>
      <c r="H249" t="s">
        <v>211</v>
      </c>
      <c r="I249">
        <v>19389.919999999998</v>
      </c>
      <c r="J249" t="s">
        <v>19</v>
      </c>
      <c r="K249">
        <v>6</v>
      </c>
      <c r="L249">
        <v>4</v>
      </c>
      <c r="M249" t="s">
        <v>20</v>
      </c>
    </row>
    <row r="250" spans="1:14" x14ac:dyDescent="0.25">
      <c r="A250" t="s">
        <v>66</v>
      </c>
      <c r="B250" t="s">
        <v>67</v>
      </c>
      <c r="C250" t="s">
        <v>57</v>
      </c>
      <c r="D250" t="s">
        <v>209</v>
      </c>
      <c r="E250" t="s">
        <v>205</v>
      </c>
      <c r="F250">
        <v>79924.66</v>
      </c>
      <c r="G250">
        <v>79158.8</v>
      </c>
      <c r="H250">
        <v>271928.89</v>
      </c>
      <c r="I250">
        <v>90109.95</v>
      </c>
      <c r="J250" t="s">
        <v>77</v>
      </c>
      <c r="K250">
        <v>3</v>
      </c>
      <c r="L250">
        <v>1</v>
      </c>
      <c r="M250" t="s">
        <v>30</v>
      </c>
      <c r="N250" t="s">
        <v>127</v>
      </c>
    </row>
    <row r="251" spans="1:14" x14ac:dyDescent="0.25">
      <c r="A251" t="s">
        <v>68</v>
      </c>
      <c r="B251" t="s">
        <v>69</v>
      </c>
      <c r="C251" t="s">
        <v>61</v>
      </c>
      <c r="D251" t="s">
        <v>210</v>
      </c>
      <c r="E251" t="s">
        <v>212</v>
      </c>
      <c r="F251">
        <v>43861.08</v>
      </c>
      <c r="G251">
        <v>42352.23</v>
      </c>
      <c r="H251">
        <v>167351.07999999999</v>
      </c>
      <c r="I251">
        <v>47913.49</v>
      </c>
      <c r="J251" t="s">
        <v>41</v>
      </c>
      <c r="K251">
        <v>2</v>
      </c>
      <c r="L251">
        <v>4</v>
      </c>
      <c r="M251" t="s">
        <v>64</v>
      </c>
      <c r="N251" t="s">
        <v>125</v>
      </c>
    </row>
    <row r="252" spans="1:14" x14ac:dyDescent="0.25">
      <c r="A252" t="s">
        <v>74</v>
      </c>
      <c r="B252" t="s">
        <v>75</v>
      </c>
      <c r="C252" t="s">
        <v>76</v>
      </c>
      <c r="D252" t="s">
        <v>213</v>
      </c>
      <c r="E252" t="s">
        <v>214</v>
      </c>
      <c r="F252">
        <v>60281.57</v>
      </c>
      <c r="G252">
        <v>63130.45</v>
      </c>
      <c r="H252">
        <v>291389.03000000003</v>
      </c>
      <c r="I252">
        <v>79698.929999999993</v>
      </c>
      <c r="J252" t="s">
        <v>19</v>
      </c>
      <c r="K252">
        <v>3</v>
      </c>
      <c r="L252">
        <v>8</v>
      </c>
      <c r="M252" t="s">
        <v>20</v>
      </c>
      <c r="N252" t="s">
        <v>31</v>
      </c>
    </row>
    <row r="253" spans="1:14" x14ac:dyDescent="0.25">
      <c r="A253" t="s">
        <v>78</v>
      </c>
      <c r="B253" t="s">
        <v>79</v>
      </c>
      <c r="C253" t="s">
        <v>137</v>
      </c>
      <c r="D253" t="s">
        <v>209</v>
      </c>
      <c r="E253" t="s">
        <v>215</v>
      </c>
      <c r="F253">
        <v>208214</v>
      </c>
      <c r="G253">
        <v>24862.54</v>
      </c>
      <c r="H253">
        <v>87243.1</v>
      </c>
      <c r="I253">
        <v>24539.71</v>
      </c>
      <c r="J253" t="s">
        <v>77</v>
      </c>
      <c r="K253">
        <v>10</v>
      </c>
      <c r="L253">
        <v>2</v>
      </c>
      <c r="M253" t="s">
        <v>42</v>
      </c>
      <c r="N253" t="s">
        <v>43</v>
      </c>
    </row>
    <row r="254" spans="1:14" x14ac:dyDescent="0.25">
      <c r="A254" t="s">
        <v>82</v>
      </c>
      <c r="B254" t="s">
        <v>83</v>
      </c>
      <c r="C254" t="s">
        <v>89</v>
      </c>
      <c r="D254" t="s">
        <v>210</v>
      </c>
      <c r="E254" t="s">
        <v>216</v>
      </c>
      <c r="F254">
        <v>27100.35</v>
      </c>
      <c r="G254">
        <v>15642.24</v>
      </c>
      <c r="H254">
        <v>83536.429999999993</v>
      </c>
      <c r="I254">
        <v>16341.72</v>
      </c>
      <c r="J254" t="s">
        <v>104</v>
      </c>
      <c r="K254">
        <v>8</v>
      </c>
      <c r="L254">
        <v>5</v>
      </c>
      <c r="M254" t="s">
        <v>58</v>
      </c>
    </row>
    <row r="255" spans="1:14" x14ac:dyDescent="0.25">
      <c r="A255" t="s">
        <v>84</v>
      </c>
      <c r="B255" t="s">
        <v>85</v>
      </c>
      <c r="C255" t="s">
        <v>126</v>
      </c>
      <c r="D255" t="s">
        <v>210</v>
      </c>
      <c r="E255" t="s">
        <v>205</v>
      </c>
      <c r="F255">
        <v>9009.0300000000007</v>
      </c>
      <c r="G255">
        <v>10397.959999999999</v>
      </c>
      <c r="H255">
        <v>1839.47</v>
      </c>
      <c r="I255">
        <v>439.91</v>
      </c>
      <c r="J255" t="s">
        <v>77</v>
      </c>
      <c r="K255">
        <v>8</v>
      </c>
      <c r="L255">
        <v>8</v>
      </c>
      <c r="M255" t="s">
        <v>30</v>
      </c>
      <c r="N255" t="s">
        <v>43</v>
      </c>
    </row>
    <row r="256" spans="1:14" x14ac:dyDescent="0.25">
      <c r="A256" t="s">
        <v>87</v>
      </c>
      <c r="B256" t="s">
        <v>88</v>
      </c>
      <c r="C256" t="s">
        <v>126</v>
      </c>
      <c r="D256" t="s">
        <v>213</v>
      </c>
      <c r="E256" t="s">
        <v>205</v>
      </c>
      <c r="F256">
        <v>26839.75</v>
      </c>
      <c r="G256">
        <v>22185.71</v>
      </c>
      <c r="H256">
        <v>116187.86</v>
      </c>
      <c r="I256">
        <v>29715.599999999999</v>
      </c>
      <c r="J256" t="s">
        <v>104</v>
      </c>
      <c r="K256">
        <v>11</v>
      </c>
      <c r="L256">
        <v>12</v>
      </c>
      <c r="M256" t="s">
        <v>30</v>
      </c>
    </row>
    <row r="257" spans="1:14" x14ac:dyDescent="0.25">
      <c r="A257" t="s">
        <v>90</v>
      </c>
      <c r="B257" t="s">
        <v>91</v>
      </c>
      <c r="C257" t="s">
        <v>126</v>
      </c>
      <c r="D257" t="s">
        <v>204</v>
      </c>
      <c r="E257" t="s">
        <v>205</v>
      </c>
      <c r="F257">
        <v>10297.129999999999</v>
      </c>
      <c r="G257">
        <v>10306.52</v>
      </c>
      <c r="H257">
        <v>43707.99</v>
      </c>
      <c r="I257">
        <v>11440.87</v>
      </c>
      <c r="J257" t="s">
        <v>104</v>
      </c>
      <c r="K257">
        <v>5</v>
      </c>
      <c r="L257">
        <v>14</v>
      </c>
      <c r="M257" t="s">
        <v>54</v>
      </c>
      <c r="N257" t="s">
        <v>65</v>
      </c>
    </row>
    <row r="258" spans="1:14" x14ac:dyDescent="0.25">
      <c r="A258" t="s">
        <v>93</v>
      </c>
      <c r="B258" t="s">
        <v>94</v>
      </c>
      <c r="C258" t="s">
        <v>137</v>
      </c>
      <c r="D258" t="s">
        <v>204</v>
      </c>
      <c r="E258" t="s">
        <v>205</v>
      </c>
      <c r="F258">
        <v>23659.21</v>
      </c>
      <c r="G258">
        <v>11367.57</v>
      </c>
      <c r="H258">
        <v>69159.13</v>
      </c>
      <c r="I258">
        <v>22108.05</v>
      </c>
      <c r="J258" t="s">
        <v>104</v>
      </c>
      <c r="K258">
        <v>9</v>
      </c>
      <c r="L258">
        <v>6</v>
      </c>
      <c r="M258" t="s">
        <v>20</v>
      </c>
      <c r="N258" t="s">
        <v>105</v>
      </c>
    </row>
    <row r="259" spans="1:14" x14ac:dyDescent="0.25">
      <c r="A259" t="s">
        <v>96</v>
      </c>
      <c r="B259" t="s">
        <v>97</v>
      </c>
      <c r="C259" t="s">
        <v>86</v>
      </c>
      <c r="D259" t="s">
        <v>204</v>
      </c>
      <c r="E259" t="s">
        <v>215</v>
      </c>
      <c r="F259">
        <v>33021.699999999997</v>
      </c>
      <c r="G259">
        <v>39110.120000000003</v>
      </c>
      <c r="H259">
        <v>106303.88</v>
      </c>
      <c r="I259">
        <v>33669.39</v>
      </c>
      <c r="J259" t="s">
        <v>19</v>
      </c>
      <c r="K259">
        <v>6</v>
      </c>
      <c r="L259">
        <v>15</v>
      </c>
      <c r="M259" t="s">
        <v>30</v>
      </c>
      <c r="N259" t="s">
        <v>43</v>
      </c>
    </row>
    <row r="260" spans="1:14" x14ac:dyDescent="0.25">
      <c r="A260" t="s">
        <v>14</v>
      </c>
      <c r="B260" t="s">
        <v>15</v>
      </c>
      <c r="C260" t="s">
        <v>118</v>
      </c>
      <c r="D260" t="s">
        <v>217</v>
      </c>
      <c r="E260" t="s">
        <v>205</v>
      </c>
      <c r="F260">
        <v>173556.48000000001</v>
      </c>
      <c r="G260">
        <v>170129.97</v>
      </c>
      <c r="H260">
        <v>544731.46</v>
      </c>
      <c r="I260">
        <v>116636.99</v>
      </c>
      <c r="J260" t="s">
        <v>104</v>
      </c>
      <c r="K260">
        <v>6</v>
      </c>
      <c r="L260">
        <v>1</v>
      </c>
      <c r="M260" t="s">
        <v>30</v>
      </c>
      <c r="N260" t="s">
        <v>113</v>
      </c>
    </row>
    <row r="261" spans="1:14" x14ac:dyDescent="0.25">
      <c r="A261" t="s">
        <v>21</v>
      </c>
      <c r="B261" t="s">
        <v>22</v>
      </c>
      <c r="C261" t="s">
        <v>118</v>
      </c>
      <c r="D261" t="s">
        <v>217</v>
      </c>
      <c r="E261" t="s">
        <v>205</v>
      </c>
      <c r="F261">
        <v>142985</v>
      </c>
      <c r="G261">
        <v>259948.23</v>
      </c>
      <c r="H261">
        <v>680562.86</v>
      </c>
      <c r="I261">
        <v>191583.95</v>
      </c>
      <c r="J261" t="s">
        <v>104</v>
      </c>
      <c r="K261">
        <v>1</v>
      </c>
      <c r="L261">
        <v>2</v>
      </c>
      <c r="M261" t="s">
        <v>54</v>
      </c>
      <c r="N261" t="s">
        <v>95</v>
      </c>
    </row>
    <row r="262" spans="1:14" x14ac:dyDescent="0.25">
      <c r="A262" t="s">
        <v>27</v>
      </c>
      <c r="B262" t="s">
        <v>28</v>
      </c>
      <c r="C262" t="s">
        <v>29</v>
      </c>
      <c r="D262" t="s">
        <v>217</v>
      </c>
      <c r="E262" t="s">
        <v>205</v>
      </c>
      <c r="F262">
        <v>129752.94</v>
      </c>
      <c r="G262">
        <v>125649.14</v>
      </c>
      <c r="H262">
        <v>587746.06000000006</v>
      </c>
      <c r="I262">
        <v>193588.94</v>
      </c>
      <c r="J262" t="s">
        <v>19</v>
      </c>
      <c r="K262">
        <v>1</v>
      </c>
      <c r="L262">
        <v>5</v>
      </c>
      <c r="M262" t="s">
        <v>99</v>
      </c>
    </row>
    <row r="263" spans="1:14" x14ac:dyDescent="0.25">
      <c r="A263" t="s">
        <v>32</v>
      </c>
      <c r="B263" t="s">
        <v>33</v>
      </c>
      <c r="C263" t="s">
        <v>34</v>
      </c>
      <c r="D263" t="s">
        <v>217</v>
      </c>
      <c r="E263" t="s">
        <v>205</v>
      </c>
      <c r="F263">
        <v>176113.26</v>
      </c>
      <c r="G263">
        <v>173783.87</v>
      </c>
      <c r="H263">
        <v>628048.52</v>
      </c>
      <c r="I263">
        <v>177682.91</v>
      </c>
      <c r="J263" t="s">
        <v>77</v>
      </c>
      <c r="K263">
        <v>4</v>
      </c>
      <c r="L263">
        <v>3</v>
      </c>
      <c r="M263" t="s">
        <v>58</v>
      </c>
      <c r="N263" t="s">
        <v>43</v>
      </c>
    </row>
    <row r="264" spans="1:14" x14ac:dyDescent="0.25">
      <c r="A264" t="s">
        <v>39</v>
      </c>
      <c r="B264" t="s">
        <v>40</v>
      </c>
      <c r="C264" t="s">
        <v>34</v>
      </c>
      <c r="D264" t="s">
        <v>217</v>
      </c>
      <c r="E264" t="s">
        <v>216</v>
      </c>
      <c r="F264">
        <v>207260.29</v>
      </c>
      <c r="G264">
        <v>216215.6</v>
      </c>
      <c r="H264">
        <v>682661.63</v>
      </c>
      <c r="I264">
        <v>232966.65</v>
      </c>
      <c r="J264" t="s">
        <v>19</v>
      </c>
      <c r="K264">
        <v>1</v>
      </c>
      <c r="L264">
        <v>3</v>
      </c>
      <c r="M264" t="s">
        <v>58</v>
      </c>
      <c r="N264" t="s">
        <v>31</v>
      </c>
    </row>
    <row r="265" spans="1:14" x14ac:dyDescent="0.25">
      <c r="A265" t="s">
        <v>44</v>
      </c>
      <c r="B265" t="s">
        <v>45</v>
      </c>
      <c r="C265" t="s">
        <v>29</v>
      </c>
      <c r="D265" t="s">
        <v>218</v>
      </c>
      <c r="E265" t="s">
        <v>205</v>
      </c>
      <c r="F265">
        <v>106310.7</v>
      </c>
      <c r="G265">
        <v>100043.41</v>
      </c>
      <c r="H265">
        <v>468417.58</v>
      </c>
      <c r="I265">
        <v>105565.7</v>
      </c>
      <c r="J265" t="s">
        <v>77</v>
      </c>
      <c r="K265">
        <v>5</v>
      </c>
      <c r="L265">
        <v>1</v>
      </c>
      <c r="M265" t="s">
        <v>54</v>
      </c>
    </row>
    <row r="266" spans="1:14" x14ac:dyDescent="0.25">
      <c r="A266" t="s">
        <v>49</v>
      </c>
      <c r="B266" t="s">
        <v>50</v>
      </c>
      <c r="C266" t="s">
        <v>76</v>
      </c>
      <c r="D266" t="s">
        <v>218</v>
      </c>
      <c r="E266" t="s">
        <v>205</v>
      </c>
      <c r="F266">
        <v>39373.03</v>
      </c>
      <c r="G266">
        <v>64006.7</v>
      </c>
      <c r="H266">
        <v>120705.22</v>
      </c>
      <c r="I266">
        <v>41606.910000000003</v>
      </c>
      <c r="J266" t="s">
        <v>19</v>
      </c>
      <c r="K266">
        <v>3</v>
      </c>
      <c r="L266">
        <v>4</v>
      </c>
      <c r="M266" t="s">
        <v>92</v>
      </c>
      <c r="N266" t="s">
        <v>81</v>
      </c>
    </row>
    <row r="267" spans="1:14" x14ac:dyDescent="0.25">
      <c r="A267" t="s">
        <v>55</v>
      </c>
      <c r="B267" t="s">
        <v>56</v>
      </c>
      <c r="C267" t="s">
        <v>57</v>
      </c>
      <c r="D267" t="s">
        <v>217</v>
      </c>
      <c r="E267" t="s">
        <v>205</v>
      </c>
      <c r="F267">
        <v>83255.210000000006</v>
      </c>
      <c r="G267">
        <v>81445.8</v>
      </c>
      <c r="H267" t="s">
        <v>219</v>
      </c>
      <c r="I267">
        <v>101216.06</v>
      </c>
      <c r="J267" t="s">
        <v>77</v>
      </c>
      <c r="K267">
        <v>4</v>
      </c>
      <c r="L267">
        <v>1</v>
      </c>
      <c r="M267" t="s">
        <v>54</v>
      </c>
    </row>
    <row r="268" spans="1:14" x14ac:dyDescent="0.25">
      <c r="A268" t="s">
        <v>59</v>
      </c>
      <c r="B268" t="s">
        <v>60</v>
      </c>
      <c r="C268" t="s">
        <v>114</v>
      </c>
      <c r="D268" t="s">
        <v>217</v>
      </c>
      <c r="E268" t="s">
        <v>205</v>
      </c>
      <c r="F268">
        <v>100168.29</v>
      </c>
      <c r="G268">
        <v>54247.51</v>
      </c>
      <c r="H268">
        <v>297963.19</v>
      </c>
      <c r="I268">
        <v>98431.42</v>
      </c>
      <c r="J268" t="s">
        <v>77</v>
      </c>
      <c r="K268">
        <v>3</v>
      </c>
      <c r="L268">
        <v>1</v>
      </c>
      <c r="M268" t="s">
        <v>20</v>
      </c>
      <c r="N268" t="s">
        <v>127</v>
      </c>
    </row>
    <row r="269" spans="1:14" x14ac:dyDescent="0.25">
      <c r="A269" t="s">
        <v>62</v>
      </c>
      <c r="B269" t="s">
        <v>63</v>
      </c>
      <c r="C269" t="s">
        <v>61</v>
      </c>
      <c r="D269" t="s">
        <v>217</v>
      </c>
      <c r="E269" t="s">
        <v>205</v>
      </c>
      <c r="F269">
        <v>65126.86</v>
      </c>
      <c r="G269">
        <v>72831.27</v>
      </c>
      <c r="H269">
        <v>226815.16</v>
      </c>
      <c r="I269">
        <v>41787.31</v>
      </c>
      <c r="J269" t="s">
        <v>104</v>
      </c>
      <c r="K269">
        <v>4</v>
      </c>
      <c r="L269">
        <v>3</v>
      </c>
      <c r="M269" t="s">
        <v>58</v>
      </c>
      <c r="N269" t="s">
        <v>26</v>
      </c>
    </row>
    <row r="270" spans="1:14" x14ac:dyDescent="0.25">
      <c r="A270" t="s">
        <v>68</v>
      </c>
      <c r="B270" t="s">
        <v>69</v>
      </c>
      <c r="C270" t="s">
        <v>51</v>
      </c>
      <c r="D270" t="s">
        <v>217</v>
      </c>
      <c r="E270" t="s">
        <v>212</v>
      </c>
      <c r="F270">
        <v>51776.6</v>
      </c>
      <c r="G270">
        <v>52146.559999999998</v>
      </c>
      <c r="H270">
        <v>223529.15</v>
      </c>
      <c r="I270">
        <v>63493.98</v>
      </c>
      <c r="J270" t="s">
        <v>53</v>
      </c>
      <c r="K270">
        <v>2</v>
      </c>
      <c r="L270">
        <v>7</v>
      </c>
      <c r="M270" t="s">
        <v>20</v>
      </c>
      <c r="N270" t="s">
        <v>115</v>
      </c>
    </row>
    <row r="271" spans="1:14" x14ac:dyDescent="0.25">
      <c r="A271" t="s">
        <v>74</v>
      </c>
      <c r="B271" t="s">
        <v>75</v>
      </c>
      <c r="C271" t="s">
        <v>51</v>
      </c>
      <c r="D271" t="s">
        <v>220</v>
      </c>
      <c r="E271" t="s">
        <v>205</v>
      </c>
      <c r="F271">
        <v>48571.1</v>
      </c>
      <c r="G271">
        <v>52485.4</v>
      </c>
      <c r="H271">
        <v>156493.72</v>
      </c>
      <c r="I271">
        <v>52073.62</v>
      </c>
      <c r="J271" t="s">
        <v>41</v>
      </c>
      <c r="K271">
        <v>2</v>
      </c>
      <c r="L271">
        <v>8</v>
      </c>
      <c r="M271" t="s">
        <v>42</v>
      </c>
    </row>
    <row r="272" spans="1:14" x14ac:dyDescent="0.25">
      <c r="A272" t="s">
        <v>78</v>
      </c>
      <c r="B272" t="s">
        <v>79</v>
      </c>
      <c r="C272" t="s">
        <v>137</v>
      </c>
      <c r="D272" t="s">
        <v>217</v>
      </c>
      <c r="E272" t="s">
        <v>205</v>
      </c>
      <c r="F272">
        <v>20250.939999999999</v>
      </c>
      <c r="G272">
        <v>19662.400000000001</v>
      </c>
      <c r="H272">
        <v>81008.929999999993</v>
      </c>
      <c r="I272">
        <v>22119.33</v>
      </c>
      <c r="J272" t="s">
        <v>53</v>
      </c>
      <c r="K272">
        <v>11</v>
      </c>
      <c r="L272">
        <v>11</v>
      </c>
      <c r="M272" t="s">
        <v>58</v>
      </c>
    </row>
    <row r="273" spans="1:14" x14ac:dyDescent="0.25">
      <c r="A273" t="s">
        <v>82</v>
      </c>
      <c r="B273" t="s">
        <v>83</v>
      </c>
      <c r="C273" t="s">
        <v>116</v>
      </c>
      <c r="D273" t="s">
        <v>221</v>
      </c>
      <c r="E273" t="s">
        <v>205</v>
      </c>
      <c r="F273">
        <v>44075.22</v>
      </c>
      <c r="G273">
        <v>22113.97</v>
      </c>
      <c r="H273">
        <v>141523.4</v>
      </c>
      <c r="I273">
        <v>42311.81</v>
      </c>
      <c r="J273" t="s">
        <v>53</v>
      </c>
      <c r="K273">
        <v>11</v>
      </c>
      <c r="L273">
        <v>12</v>
      </c>
      <c r="M273" t="s">
        <v>58</v>
      </c>
      <c r="N273" t="s">
        <v>65</v>
      </c>
    </row>
    <row r="274" spans="1:14" x14ac:dyDescent="0.25">
      <c r="A274" t="s">
        <v>84</v>
      </c>
      <c r="B274" t="s">
        <v>85</v>
      </c>
      <c r="C274" t="s">
        <v>80</v>
      </c>
      <c r="D274" t="s">
        <v>217</v>
      </c>
      <c r="E274" t="s">
        <v>205</v>
      </c>
      <c r="F274">
        <v>9753</v>
      </c>
      <c r="G274">
        <v>9610.69</v>
      </c>
      <c r="H274">
        <v>41319.050000000003</v>
      </c>
      <c r="I274">
        <v>11139.57</v>
      </c>
      <c r="J274" t="s">
        <v>19</v>
      </c>
      <c r="K274">
        <v>10</v>
      </c>
      <c r="L274">
        <v>3</v>
      </c>
      <c r="M274" t="s">
        <v>58</v>
      </c>
    </row>
    <row r="275" spans="1:14" x14ac:dyDescent="0.25">
      <c r="A275" t="s">
        <v>87</v>
      </c>
      <c r="B275" t="s">
        <v>88</v>
      </c>
      <c r="C275" t="s">
        <v>80</v>
      </c>
      <c r="D275" t="s">
        <v>220</v>
      </c>
      <c r="E275" t="s">
        <v>205</v>
      </c>
      <c r="F275">
        <v>34629.519999999997</v>
      </c>
      <c r="G275">
        <v>30944.720000000001</v>
      </c>
      <c r="H275">
        <v>159970.88</v>
      </c>
      <c r="I275">
        <v>44435.79</v>
      </c>
      <c r="J275" t="s">
        <v>19</v>
      </c>
      <c r="K275">
        <v>11</v>
      </c>
      <c r="L275">
        <v>11</v>
      </c>
      <c r="M275" t="s">
        <v>58</v>
      </c>
      <c r="N275" t="s">
        <v>73</v>
      </c>
    </row>
    <row r="276" spans="1:14" x14ac:dyDescent="0.25">
      <c r="A276" t="s">
        <v>90</v>
      </c>
      <c r="B276" t="s">
        <v>91</v>
      </c>
      <c r="C276" t="s">
        <v>137</v>
      </c>
      <c r="D276" t="s">
        <v>221</v>
      </c>
      <c r="E276" t="s">
        <v>205</v>
      </c>
      <c r="F276">
        <v>8042.68</v>
      </c>
      <c r="G276">
        <v>6128.47</v>
      </c>
      <c r="H276">
        <v>36126.379999999997</v>
      </c>
      <c r="I276">
        <v>7776.07</v>
      </c>
      <c r="J276" t="s">
        <v>36</v>
      </c>
      <c r="K276">
        <v>11</v>
      </c>
      <c r="L276">
        <v>12</v>
      </c>
      <c r="M276" t="s">
        <v>130</v>
      </c>
      <c r="N276" t="s">
        <v>26</v>
      </c>
    </row>
    <row r="277" spans="1:14" x14ac:dyDescent="0.25">
      <c r="A277" t="s">
        <v>93</v>
      </c>
      <c r="B277" t="s">
        <v>94</v>
      </c>
      <c r="C277" t="s">
        <v>89</v>
      </c>
      <c r="D277" t="s">
        <v>220</v>
      </c>
      <c r="E277" t="s">
        <v>205</v>
      </c>
      <c r="F277">
        <v>28198.1</v>
      </c>
      <c r="G277">
        <v>16025.42</v>
      </c>
      <c r="H277">
        <v>98414.84</v>
      </c>
      <c r="I277">
        <v>33777.86</v>
      </c>
      <c r="J277" t="s">
        <v>77</v>
      </c>
      <c r="K277">
        <v>4</v>
      </c>
      <c r="L277">
        <v>7</v>
      </c>
      <c r="M277" t="s">
        <v>42</v>
      </c>
      <c r="N277" t="s">
        <v>81</v>
      </c>
    </row>
    <row r="278" spans="1:14" x14ac:dyDescent="0.25">
      <c r="A278" t="s">
        <v>96</v>
      </c>
      <c r="B278" t="s">
        <v>97</v>
      </c>
      <c r="C278" t="s">
        <v>126</v>
      </c>
      <c r="D278" t="s">
        <v>221</v>
      </c>
      <c r="E278" t="s">
        <v>214</v>
      </c>
      <c r="F278">
        <v>29982.5</v>
      </c>
      <c r="G278">
        <v>36395.61</v>
      </c>
      <c r="H278">
        <v>137552.64000000001</v>
      </c>
      <c r="I278">
        <v>41712</v>
      </c>
      <c r="J278" t="s">
        <v>25</v>
      </c>
      <c r="K278">
        <v>7</v>
      </c>
      <c r="L278">
        <v>2</v>
      </c>
      <c r="M278" t="s">
        <v>30</v>
      </c>
    </row>
    <row r="279" spans="1:14" x14ac:dyDescent="0.25">
      <c r="A279" t="s">
        <v>14</v>
      </c>
      <c r="B279" t="s">
        <v>15</v>
      </c>
      <c r="C279" t="s">
        <v>118</v>
      </c>
      <c r="D279" t="s">
        <v>222</v>
      </c>
      <c r="E279" t="s">
        <v>205</v>
      </c>
      <c r="F279">
        <v>159937.43</v>
      </c>
      <c r="G279">
        <v>157111.43</v>
      </c>
      <c r="H279">
        <v>745545.81</v>
      </c>
      <c r="I279">
        <v>223585.65</v>
      </c>
      <c r="J279" t="s">
        <v>36</v>
      </c>
      <c r="K279">
        <v>3</v>
      </c>
      <c r="L279">
        <v>2</v>
      </c>
      <c r="M279" t="s">
        <v>42</v>
      </c>
      <c r="N279" t="s">
        <v>125</v>
      </c>
    </row>
    <row r="280" spans="1:14" x14ac:dyDescent="0.25">
      <c r="A280" t="s">
        <v>21</v>
      </c>
      <c r="B280" t="s">
        <v>22</v>
      </c>
      <c r="C280" t="s">
        <v>46</v>
      </c>
      <c r="D280" t="s">
        <v>223</v>
      </c>
      <c r="E280" t="s">
        <v>215</v>
      </c>
      <c r="F280">
        <v>134569.85</v>
      </c>
      <c r="G280">
        <v>240510.97</v>
      </c>
      <c r="H280">
        <v>605236.42000000004</v>
      </c>
      <c r="I280">
        <v>124795.65</v>
      </c>
      <c r="J280" t="s">
        <v>41</v>
      </c>
      <c r="K280">
        <v>3</v>
      </c>
      <c r="L280">
        <v>1</v>
      </c>
      <c r="M280" t="s">
        <v>37</v>
      </c>
      <c r="N280" t="s">
        <v>101</v>
      </c>
    </row>
    <row r="281" spans="1:14" x14ac:dyDescent="0.25">
      <c r="A281" t="s">
        <v>27</v>
      </c>
      <c r="B281" t="s">
        <v>28</v>
      </c>
      <c r="C281" t="s">
        <v>118</v>
      </c>
      <c r="D281" t="s">
        <v>222</v>
      </c>
      <c r="E281" t="s">
        <v>205</v>
      </c>
      <c r="F281">
        <v>144311.57999999999</v>
      </c>
      <c r="G281">
        <v>149245.35999999999</v>
      </c>
      <c r="H281" t="s">
        <v>224</v>
      </c>
      <c r="I281">
        <v>107518.87</v>
      </c>
      <c r="J281" t="s">
        <v>19</v>
      </c>
      <c r="K281">
        <v>5</v>
      </c>
      <c r="L281">
        <v>2</v>
      </c>
      <c r="M281" t="s">
        <v>42</v>
      </c>
      <c r="N281" t="s">
        <v>101</v>
      </c>
    </row>
    <row r="282" spans="1:14" x14ac:dyDescent="0.25">
      <c r="A282" t="s">
        <v>32</v>
      </c>
      <c r="B282" t="s">
        <v>33</v>
      </c>
      <c r="C282" t="s">
        <v>46</v>
      </c>
      <c r="D282" t="s">
        <v>222</v>
      </c>
      <c r="E282" t="s">
        <v>205</v>
      </c>
      <c r="F282">
        <v>106956.39</v>
      </c>
      <c r="G282">
        <v>103134.19</v>
      </c>
      <c r="H282">
        <v>474027.27</v>
      </c>
      <c r="I282">
        <v>107296.65</v>
      </c>
      <c r="J282" t="s">
        <v>36</v>
      </c>
      <c r="K282">
        <v>2</v>
      </c>
      <c r="L282">
        <v>6</v>
      </c>
      <c r="M282" t="s">
        <v>30</v>
      </c>
    </row>
    <row r="283" spans="1:14" x14ac:dyDescent="0.25">
      <c r="A283" t="s">
        <v>39</v>
      </c>
      <c r="B283" t="s">
        <v>40</v>
      </c>
      <c r="C283" t="s">
        <v>16</v>
      </c>
      <c r="D283" t="s">
        <v>225</v>
      </c>
      <c r="E283" t="s">
        <v>205</v>
      </c>
      <c r="F283">
        <v>89974</v>
      </c>
      <c r="G283">
        <v>91604.52</v>
      </c>
      <c r="H283">
        <v>5020.42</v>
      </c>
      <c r="I283">
        <v>1674.61</v>
      </c>
      <c r="J283" t="s">
        <v>25</v>
      </c>
      <c r="K283">
        <v>1</v>
      </c>
      <c r="L283">
        <v>6</v>
      </c>
      <c r="M283" t="s">
        <v>30</v>
      </c>
    </row>
    <row r="284" spans="1:14" x14ac:dyDescent="0.25">
      <c r="A284" t="s">
        <v>44</v>
      </c>
      <c r="B284" t="s">
        <v>45</v>
      </c>
      <c r="C284" t="s">
        <v>16</v>
      </c>
      <c r="D284" t="s">
        <v>226</v>
      </c>
      <c r="E284" t="s">
        <v>205</v>
      </c>
      <c r="F284">
        <v>126526.49</v>
      </c>
      <c r="G284">
        <v>120415.71</v>
      </c>
      <c r="H284">
        <v>624307.62</v>
      </c>
      <c r="I284">
        <v>161800.69</v>
      </c>
      <c r="J284" t="s">
        <v>41</v>
      </c>
      <c r="K284">
        <v>2</v>
      </c>
      <c r="L284">
        <v>2</v>
      </c>
      <c r="M284" t="s">
        <v>20</v>
      </c>
    </row>
    <row r="285" spans="1:14" x14ac:dyDescent="0.25">
      <c r="A285" t="s">
        <v>49</v>
      </c>
      <c r="B285" t="s">
        <v>50</v>
      </c>
      <c r="C285" t="s">
        <v>114</v>
      </c>
      <c r="D285" t="s">
        <v>222</v>
      </c>
      <c r="E285" t="s">
        <v>205</v>
      </c>
      <c r="F285">
        <v>36693.5</v>
      </c>
      <c r="G285">
        <v>64735.35</v>
      </c>
      <c r="H285">
        <v>5323.01</v>
      </c>
      <c r="I285">
        <v>1276.17</v>
      </c>
      <c r="J285" t="s">
        <v>104</v>
      </c>
      <c r="K285">
        <v>4</v>
      </c>
      <c r="L285">
        <v>6</v>
      </c>
      <c r="M285" t="s">
        <v>42</v>
      </c>
      <c r="N285" t="s">
        <v>73</v>
      </c>
    </row>
    <row r="286" spans="1:14" x14ac:dyDescent="0.25">
      <c r="A286" t="s">
        <v>55</v>
      </c>
      <c r="B286" t="s">
        <v>56</v>
      </c>
      <c r="C286" t="s">
        <v>61</v>
      </c>
      <c r="D286" t="s">
        <v>225</v>
      </c>
      <c r="E286" t="s">
        <v>205</v>
      </c>
      <c r="F286">
        <v>54048.99</v>
      </c>
      <c r="G286">
        <v>52645.48</v>
      </c>
      <c r="H286">
        <v>209162.7</v>
      </c>
      <c r="I286">
        <v>51296.9</v>
      </c>
      <c r="J286" t="s">
        <v>19</v>
      </c>
      <c r="K286">
        <v>3</v>
      </c>
      <c r="L286">
        <v>4</v>
      </c>
      <c r="M286" t="s">
        <v>54</v>
      </c>
    </row>
    <row r="287" spans="1:14" x14ac:dyDescent="0.25">
      <c r="A287" t="s">
        <v>59</v>
      </c>
      <c r="B287" t="s">
        <v>60</v>
      </c>
      <c r="C287" t="s">
        <v>61</v>
      </c>
      <c r="D287" t="s">
        <v>227</v>
      </c>
      <c r="E287" t="s">
        <v>205</v>
      </c>
      <c r="F287">
        <v>49116.51</v>
      </c>
      <c r="G287">
        <v>24426.52</v>
      </c>
      <c r="H287">
        <v>144423.89000000001</v>
      </c>
      <c r="I287">
        <v>27705.31</v>
      </c>
      <c r="J287" t="s">
        <v>53</v>
      </c>
      <c r="K287">
        <v>1</v>
      </c>
      <c r="L287">
        <v>8</v>
      </c>
      <c r="M287" t="s">
        <v>54</v>
      </c>
      <c r="N287" t="s">
        <v>113</v>
      </c>
    </row>
    <row r="288" spans="1:14" x14ac:dyDescent="0.25">
      <c r="A288" t="s">
        <v>62</v>
      </c>
      <c r="B288" t="s">
        <v>63</v>
      </c>
      <c r="C288" t="s">
        <v>57</v>
      </c>
      <c r="D288" t="s">
        <v>223</v>
      </c>
      <c r="E288" t="s">
        <v>216</v>
      </c>
      <c r="F288">
        <v>69652.88</v>
      </c>
      <c r="G288">
        <v>68670.240000000005</v>
      </c>
      <c r="H288">
        <v>242040.75</v>
      </c>
      <c r="I288">
        <v>51618.42</v>
      </c>
      <c r="J288" t="s">
        <v>77</v>
      </c>
      <c r="K288">
        <v>6</v>
      </c>
      <c r="L288">
        <v>5</v>
      </c>
      <c r="M288" t="s">
        <v>42</v>
      </c>
    </row>
    <row r="289" spans="1:14" x14ac:dyDescent="0.25">
      <c r="A289" t="s">
        <v>66</v>
      </c>
      <c r="B289" t="s">
        <v>67</v>
      </c>
      <c r="C289" t="s">
        <v>51</v>
      </c>
      <c r="D289" t="s">
        <v>223</v>
      </c>
      <c r="E289" t="s">
        <v>215</v>
      </c>
      <c r="F289">
        <v>37653.339999999997</v>
      </c>
      <c r="G289">
        <v>35328.449999999997</v>
      </c>
      <c r="H289">
        <v>178954.63</v>
      </c>
      <c r="I289">
        <v>32237.49</v>
      </c>
      <c r="J289" t="s">
        <v>25</v>
      </c>
      <c r="K289">
        <v>5</v>
      </c>
      <c r="L289">
        <v>6</v>
      </c>
      <c r="M289" t="s">
        <v>42</v>
      </c>
      <c r="N289" t="s">
        <v>38</v>
      </c>
    </row>
    <row r="290" spans="1:14" x14ac:dyDescent="0.25">
      <c r="A290" t="s">
        <v>68</v>
      </c>
      <c r="B290" t="s">
        <v>69</v>
      </c>
      <c r="C290" t="s">
        <v>70</v>
      </c>
      <c r="D290" t="s">
        <v>222</v>
      </c>
      <c r="E290" t="s">
        <v>205</v>
      </c>
      <c r="F290" t="s">
        <v>228</v>
      </c>
      <c r="G290">
        <v>38492</v>
      </c>
      <c r="H290">
        <v>126762.9</v>
      </c>
      <c r="I290">
        <v>42739.63</v>
      </c>
      <c r="J290" t="s">
        <v>41</v>
      </c>
      <c r="K290">
        <v>4</v>
      </c>
      <c r="L290">
        <v>3</v>
      </c>
      <c r="M290" t="s">
        <v>58</v>
      </c>
      <c r="N290" t="s">
        <v>26</v>
      </c>
    </row>
    <row r="291" spans="1:14" x14ac:dyDescent="0.25">
      <c r="A291" t="s">
        <v>74</v>
      </c>
      <c r="B291" t="s">
        <v>75</v>
      </c>
      <c r="C291" t="s">
        <v>70</v>
      </c>
      <c r="D291" t="s">
        <v>225</v>
      </c>
      <c r="E291" t="s">
        <v>205</v>
      </c>
      <c r="F291">
        <v>78356.5</v>
      </c>
      <c r="G291">
        <v>86822.59</v>
      </c>
      <c r="H291">
        <v>317980.15999999997</v>
      </c>
      <c r="I291">
        <v>80163.179999999993</v>
      </c>
      <c r="J291" t="s">
        <v>25</v>
      </c>
      <c r="K291">
        <v>4</v>
      </c>
      <c r="L291">
        <v>7</v>
      </c>
      <c r="M291" t="s">
        <v>58</v>
      </c>
    </row>
    <row r="292" spans="1:14" x14ac:dyDescent="0.25">
      <c r="A292" t="s">
        <v>78</v>
      </c>
      <c r="B292" t="s">
        <v>79</v>
      </c>
      <c r="C292" t="s">
        <v>86</v>
      </c>
      <c r="D292" t="s">
        <v>226</v>
      </c>
      <c r="E292" t="s">
        <v>205</v>
      </c>
      <c r="F292">
        <v>8903.4699999999993</v>
      </c>
      <c r="G292">
        <v>6846.17</v>
      </c>
      <c r="H292">
        <v>37948.43</v>
      </c>
      <c r="I292">
        <v>9937.2000000000007</v>
      </c>
      <c r="J292" t="s">
        <v>19</v>
      </c>
      <c r="K292">
        <v>3</v>
      </c>
      <c r="L292">
        <v>9</v>
      </c>
      <c r="M292" t="s">
        <v>54</v>
      </c>
      <c r="N292" t="s">
        <v>26</v>
      </c>
    </row>
    <row r="293" spans="1:14" x14ac:dyDescent="0.25">
      <c r="A293" t="s">
        <v>82</v>
      </c>
      <c r="B293" t="s">
        <v>83</v>
      </c>
      <c r="C293" t="s">
        <v>116</v>
      </c>
      <c r="D293" t="s">
        <v>227</v>
      </c>
      <c r="E293" t="s">
        <v>214</v>
      </c>
      <c r="F293">
        <v>30708.74</v>
      </c>
      <c r="G293">
        <v>17312.75</v>
      </c>
      <c r="H293">
        <v>136540.79999999999</v>
      </c>
      <c r="I293">
        <v>36477.25</v>
      </c>
      <c r="J293" t="s">
        <v>19</v>
      </c>
      <c r="K293">
        <v>9</v>
      </c>
      <c r="L293">
        <v>10</v>
      </c>
      <c r="M293" t="s">
        <v>42</v>
      </c>
    </row>
    <row r="294" spans="1:14" x14ac:dyDescent="0.25">
      <c r="A294" t="s">
        <v>84</v>
      </c>
      <c r="B294" t="s">
        <v>85</v>
      </c>
      <c r="C294" t="s">
        <v>137</v>
      </c>
      <c r="D294" t="s">
        <v>222</v>
      </c>
      <c r="E294" t="s">
        <v>205</v>
      </c>
      <c r="F294">
        <v>24991.1</v>
      </c>
      <c r="G294">
        <v>25967.52</v>
      </c>
      <c r="H294">
        <v>65702.850000000006</v>
      </c>
      <c r="I294">
        <v>20861.46</v>
      </c>
      <c r="J294" t="s">
        <v>53</v>
      </c>
      <c r="K294">
        <v>11</v>
      </c>
      <c r="L294">
        <v>11</v>
      </c>
      <c r="M294" t="s">
        <v>20</v>
      </c>
      <c r="N294" t="s">
        <v>31</v>
      </c>
    </row>
    <row r="295" spans="1:14" x14ac:dyDescent="0.25">
      <c r="A295" t="s">
        <v>90</v>
      </c>
      <c r="B295" t="s">
        <v>91</v>
      </c>
      <c r="C295" t="s">
        <v>137</v>
      </c>
      <c r="D295" t="s">
        <v>227</v>
      </c>
      <c r="E295" t="s">
        <v>215</v>
      </c>
      <c r="F295">
        <v>12714.57</v>
      </c>
      <c r="G295">
        <v>13297.98</v>
      </c>
      <c r="H295">
        <v>52738.64</v>
      </c>
      <c r="I295">
        <v>11065.51</v>
      </c>
      <c r="J295" t="s">
        <v>25</v>
      </c>
      <c r="K295">
        <v>5</v>
      </c>
      <c r="L295">
        <v>4</v>
      </c>
      <c r="M295" t="s">
        <v>54</v>
      </c>
      <c r="N295" t="s">
        <v>38</v>
      </c>
    </row>
    <row r="296" spans="1:14" x14ac:dyDescent="0.25">
      <c r="A296" t="s">
        <v>93</v>
      </c>
      <c r="B296" t="s">
        <v>94</v>
      </c>
      <c r="C296" t="s">
        <v>116</v>
      </c>
      <c r="D296" t="s">
        <v>223</v>
      </c>
      <c r="E296" t="s">
        <v>205</v>
      </c>
      <c r="F296">
        <v>26269.78</v>
      </c>
      <c r="G296">
        <v>14823.61</v>
      </c>
      <c r="H296">
        <v>69242.27</v>
      </c>
      <c r="I296">
        <v>22110.46</v>
      </c>
      <c r="J296" t="s">
        <v>25</v>
      </c>
      <c r="K296">
        <v>2</v>
      </c>
      <c r="L296">
        <v>7</v>
      </c>
      <c r="M296" t="s">
        <v>20</v>
      </c>
    </row>
    <row r="297" spans="1:14" x14ac:dyDescent="0.25">
      <c r="A297" t="s">
        <v>96</v>
      </c>
      <c r="B297" t="s">
        <v>97</v>
      </c>
      <c r="C297" t="s">
        <v>137</v>
      </c>
      <c r="D297" t="s">
        <v>227</v>
      </c>
      <c r="E297" t="s">
        <v>216</v>
      </c>
      <c r="F297">
        <v>22321.94</v>
      </c>
      <c r="G297">
        <v>21593.51</v>
      </c>
      <c r="H297">
        <v>107548.35</v>
      </c>
      <c r="I297">
        <v>31763.75</v>
      </c>
      <c r="J297" t="s">
        <v>53</v>
      </c>
      <c r="K297">
        <v>10</v>
      </c>
      <c r="L297">
        <v>6</v>
      </c>
      <c r="M297" t="s">
        <v>30</v>
      </c>
      <c r="N297" t="s">
        <v>127</v>
      </c>
    </row>
    <row r="298" spans="1:14" x14ac:dyDescent="0.25">
      <c r="A298" t="s">
        <v>14</v>
      </c>
      <c r="B298" t="s">
        <v>15</v>
      </c>
      <c r="C298" t="s">
        <v>111</v>
      </c>
      <c r="D298" t="s">
        <v>229</v>
      </c>
      <c r="E298" t="s">
        <v>205</v>
      </c>
      <c r="F298">
        <v>8161784</v>
      </c>
      <c r="G298">
        <v>160778.03</v>
      </c>
      <c r="H298">
        <v>701463.7</v>
      </c>
      <c r="I298">
        <v>149508.13</v>
      </c>
      <c r="J298" t="s">
        <v>41</v>
      </c>
      <c r="K298">
        <v>3</v>
      </c>
      <c r="L298">
        <v>4</v>
      </c>
      <c r="M298" t="s">
        <v>58</v>
      </c>
      <c r="N298" t="s">
        <v>73</v>
      </c>
    </row>
    <row r="299" spans="1:14" x14ac:dyDescent="0.25">
      <c r="A299" t="s">
        <v>21</v>
      </c>
      <c r="B299" t="s">
        <v>22</v>
      </c>
      <c r="C299" t="s">
        <v>29</v>
      </c>
      <c r="D299" t="s">
        <v>230</v>
      </c>
      <c r="E299" t="s">
        <v>205</v>
      </c>
      <c r="F299">
        <v>67330.509999999995</v>
      </c>
      <c r="G299">
        <v>109273.42</v>
      </c>
      <c r="H299">
        <v>328318.56</v>
      </c>
      <c r="I299">
        <v>98617.95</v>
      </c>
      <c r="J299" t="s">
        <v>19</v>
      </c>
      <c r="K299">
        <v>1</v>
      </c>
      <c r="L299">
        <v>4</v>
      </c>
      <c r="M299" t="s">
        <v>54</v>
      </c>
      <c r="N299" t="s">
        <v>125</v>
      </c>
    </row>
    <row r="300" spans="1:14" x14ac:dyDescent="0.25">
      <c r="A300" t="s">
        <v>27</v>
      </c>
      <c r="B300" t="s">
        <v>28</v>
      </c>
      <c r="C300" t="s">
        <v>111</v>
      </c>
      <c r="D300" t="s">
        <v>229</v>
      </c>
      <c r="E300" t="s">
        <v>214</v>
      </c>
      <c r="F300">
        <v>145373.78</v>
      </c>
      <c r="G300">
        <v>155519.29</v>
      </c>
      <c r="H300">
        <v>698773.75</v>
      </c>
      <c r="I300">
        <v>176501.29</v>
      </c>
      <c r="J300" t="s">
        <v>53</v>
      </c>
      <c r="K300">
        <v>6</v>
      </c>
      <c r="L300">
        <v>8</v>
      </c>
      <c r="M300" t="s">
        <v>42</v>
      </c>
      <c r="N300" t="s">
        <v>31</v>
      </c>
    </row>
    <row r="301" spans="1:14" x14ac:dyDescent="0.25">
      <c r="A301" t="s">
        <v>32</v>
      </c>
      <c r="B301" t="s">
        <v>33</v>
      </c>
      <c r="C301" t="s">
        <v>29</v>
      </c>
      <c r="D301" t="s">
        <v>229</v>
      </c>
      <c r="E301" t="s">
        <v>214</v>
      </c>
      <c r="F301">
        <v>89715.79</v>
      </c>
      <c r="G301">
        <v>96597.66</v>
      </c>
      <c r="H301">
        <v>361173.75</v>
      </c>
      <c r="I301">
        <v>95223.37</v>
      </c>
      <c r="J301" t="s">
        <v>25</v>
      </c>
      <c r="K301">
        <v>2</v>
      </c>
      <c r="L301">
        <v>4</v>
      </c>
      <c r="M301" t="s">
        <v>20</v>
      </c>
      <c r="N301" t="s">
        <v>113</v>
      </c>
    </row>
    <row r="302" spans="1:14" x14ac:dyDescent="0.25">
      <c r="A302" t="s">
        <v>39</v>
      </c>
      <c r="B302" t="s">
        <v>40</v>
      </c>
      <c r="C302" t="s">
        <v>34</v>
      </c>
      <c r="D302" t="s">
        <v>231</v>
      </c>
      <c r="E302" t="s">
        <v>205</v>
      </c>
      <c r="F302">
        <v>100839.6</v>
      </c>
      <c r="G302">
        <v>103103.81</v>
      </c>
      <c r="H302">
        <v>419645.46</v>
      </c>
      <c r="I302">
        <v>125477.93</v>
      </c>
      <c r="J302" t="s">
        <v>41</v>
      </c>
      <c r="K302">
        <v>4</v>
      </c>
      <c r="L302">
        <v>1</v>
      </c>
      <c r="M302" t="s">
        <v>54</v>
      </c>
      <c r="N302" t="s">
        <v>113</v>
      </c>
    </row>
    <row r="303" spans="1:14" x14ac:dyDescent="0.25">
      <c r="A303" t="s">
        <v>44</v>
      </c>
      <c r="B303" t="s">
        <v>45</v>
      </c>
      <c r="C303" t="s">
        <v>34</v>
      </c>
      <c r="D303" t="s">
        <v>229</v>
      </c>
      <c r="E303" t="s">
        <v>205</v>
      </c>
      <c r="F303">
        <v>176496.58</v>
      </c>
      <c r="G303">
        <v>184398.83</v>
      </c>
      <c r="H303">
        <v>691532.98</v>
      </c>
      <c r="I303">
        <v>166670.59</v>
      </c>
      <c r="J303" t="s">
        <v>36</v>
      </c>
      <c r="K303">
        <v>6</v>
      </c>
      <c r="L303">
        <v>2</v>
      </c>
      <c r="M303" t="s">
        <v>30</v>
      </c>
      <c r="N303" t="s">
        <v>101</v>
      </c>
    </row>
    <row r="304" spans="1:14" x14ac:dyDescent="0.25">
      <c r="A304" t="s">
        <v>49</v>
      </c>
      <c r="B304" t="s">
        <v>50</v>
      </c>
      <c r="C304" t="s">
        <v>70</v>
      </c>
      <c r="D304" t="s">
        <v>229</v>
      </c>
      <c r="E304" t="s">
        <v>205</v>
      </c>
      <c r="F304">
        <v>25269.81</v>
      </c>
      <c r="G304">
        <v>42209.64</v>
      </c>
      <c r="H304">
        <v>103013.47</v>
      </c>
      <c r="I304">
        <v>20028.560000000001</v>
      </c>
      <c r="J304" t="s">
        <v>77</v>
      </c>
      <c r="K304">
        <v>6</v>
      </c>
      <c r="L304">
        <v>2</v>
      </c>
      <c r="M304" t="s">
        <v>58</v>
      </c>
      <c r="N304" t="s">
        <v>73</v>
      </c>
    </row>
    <row r="305" spans="1:14" x14ac:dyDescent="0.25">
      <c r="A305" t="s">
        <v>55</v>
      </c>
      <c r="B305" t="s">
        <v>56</v>
      </c>
      <c r="C305" t="s">
        <v>61</v>
      </c>
      <c r="D305" t="s">
        <v>229</v>
      </c>
      <c r="E305" t="s">
        <v>215</v>
      </c>
      <c r="F305">
        <v>87897.23</v>
      </c>
      <c r="G305">
        <v>96118.56</v>
      </c>
      <c r="H305">
        <v>18243.57</v>
      </c>
      <c r="I305">
        <v>3416.63</v>
      </c>
      <c r="J305" t="s">
        <v>25</v>
      </c>
      <c r="K305">
        <v>1</v>
      </c>
      <c r="L305">
        <v>1</v>
      </c>
      <c r="M305" t="s">
        <v>54</v>
      </c>
    </row>
    <row r="306" spans="1:14" x14ac:dyDescent="0.25">
      <c r="A306" t="s">
        <v>62</v>
      </c>
      <c r="B306" t="s">
        <v>63</v>
      </c>
      <c r="C306" t="s">
        <v>51</v>
      </c>
      <c r="D306" t="s">
        <v>229</v>
      </c>
      <c r="E306" t="s">
        <v>205</v>
      </c>
      <c r="F306">
        <v>37832.26</v>
      </c>
      <c r="G306">
        <v>34112.400000000001</v>
      </c>
      <c r="H306">
        <v>180144.22</v>
      </c>
      <c r="I306">
        <v>35405.49</v>
      </c>
      <c r="J306" t="s">
        <v>36</v>
      </c>
      <c r="K306">
        <v>5</v>
      </c>
      <c r="L306">
        <v>1</v>
      </c>
      <c r="M306" t="s">
        <v>54</v>
      </c>
      <c r="N306" t="s">
        <v>38</v>
      </c>
    </row>
    <row r="307" spans="1:14" x14ac:dyDescent="0.25">
      <c r="A307" t="s">
        <v>66</v>
      </c>
      <c r="B307" t="s">
        <v>67</v>
      </c>
      <c r="C307" t="s">
        <v>51</v>
      </c>
      <c r="D307" t="s">
        <v>229</v>
      </c>
      <c r="E307" t="s">
        <v>205</v>
      </c>
      <c r="F307">
        <v>88551.2</v>
      </c>
      <c r="G307">
        <v>90569.29</v>
      </c>
      <c r="H307">
        <v>292570.90999999997</v>
      </c>
      <c r="I307">
        <v>63268.29</v>
      </c>
      <c r="J307" t="s">
        <v>41</v>
      </c>
      <c r="K307">
        <v>1</v>
      </c>
      <c r="L307">
        <v>3</v>
      </c>
      <c r="M307" t="s">
        <v>42</v>
      </c>
    </row>
    <row r="308" spans="1:14" x14ac:dyDescent="0.25">
      <c r="A308" t="s">
        <v>74</v>
      </c>
      <c r="B308" t="s">
        <v>75</v>
      </c>
      <c r="C308" t="s">
        <v>76</v>
      </c>
      <c r="D308" t="s">
        <v>232</v>
      </c>
      <c r="E308" t="s">
        <v>205</v>
      </c>
      <c r="F308">
        <v>80842</v>
      </c>
      <c r="G308">
        <v>83569</v>
      </c>
      <c r="H308">
        <v>205263.97</v>
      </c>
      <c r="I308">
        <v>37169.08</v>
      </c>
      <c r="J308" t="s">
        <v>19</v>
      </c>
      <c r="K308">
        <v>2</v>
      </c>
      <c r="L308">
        <v>3</v>
      </c>
      <c r="M308" t="s">
        <v>37</v>
      </c>
      <c r="N308" t="s">
        <v>31</v>
      </c>
    </row>
    <row r="309" spans="1:14" x14ac:dyDescent="0.25">
      <c r="A309" t="s">
        <v>78</v>
      </c>
      <c r="B309" t="s">
        <v>79</v>
      </c>
      <c r="C309" t="s">
        <v>86</v>
      </c>
      <c r="D309" t="s">
        <v>233</v>
      </c>
      <c r="E309" t="s">
        <v>205</v>
      </c>
      <c r="F309">
        <v>19124.849999999999</v>
      </c>
      <c r="G309">
        <v>23314.04</v>
      </c>
      <c r="H309">
        <v>80882.490000000005</v>
      </c>
      <c r="I309">
        <v>24420.35</v>
      </c>
      <c r="J309" t="s">
        <v>77</v>
      </c>
      <c r="K309">
        <v>11</v>
      </c>
      <c r="L309">
        <v>11</v>
      </c>
      <c r="M309" t="s">
        <v>37</v>
      </c>
      <c r="N309" t="s">
        <v>95</v>
      </c>
    </row>
    <row r="310" spans="1:14" x14ac:dyDescent="0.25">
      <c r="A310" t="s">
        <v>82</v>
      </c>
      <c r="B310" t="s">
        <v>83</v>
      </c>
      <c r="C310" t="s">
        <v>116</v>
      </c>
      <c r="D310" t="s">
        <v>229</v>
      </c>
      <c r="E310" t="s">
        <v>205</v>
      </c>
      <c r="F310">
        <v>46644.24</v>
      </c>
      <c r="G310">
        <v>25339.37</v>
      </c>
      <c r="H310">
        <v>148844.87</v>
      </c>
      <c r="I310">
        <v>46949.279999999999</v>
      </c>
      <c r="J310" t="s">
        <v>36</v>
      </c>
      <c r="K310">
        <v>12</v>
      </c>
      <c r="L310">
        <v>5</v>
      </c>
      <c r="M310" t="s">
        <v>20</v>
      </c>
      <c r="N310" t="s">
        <v>81</v>
      </c>
    </row>
    <row r="311" spans="1:14" x14ac:dyDescent="0.25">
      <c r="A311" t="s">
        <v>84</v>
      </c>
      <c r="B311" t="s">
        <v>85</v>
      </c>
      <c r="C311" t="s">
        <v>137</v>
      </c>
      <c r="D311" t="s">
        <v>234</v>
      </c>
      <c r="E311" t="s">
        <v>212</v>
      </c>
      <c r="F311">
        <v>32032.15</v>
      </c>
      <c r="G311">
        <v>31281.759999999998</v>
      </c>
      <c r="H311">
        <v>139373.23000000001</v>
      </c>
      <c r="I311">
        <v>29254.57</v>
      </c>
      <c r="J311" t="s">
        <v>41</v>
      </c>
      <c r="K311">
        <v>2</v>
      </c>
      <c r="L311">
        <v>3</v>
      </c>
      <c r="M311" t="s">
        <v>30</v>
      </c>
      <c r="N311" t="s">
        <v>127</v>
      </c>
    </row>
    <row r="312" spans="1:14" x14ac:dyDescent="0.25">
      <c r="A312" t="s">
        <v>87</v>
      </c>
      <c r="B312" t="s">
        <v>88</v>
      </c>
      <c r="C312" t="s">
        <v>126</v>
      </c>
      <c r="D312" t="s">
        <v>234</v>
      </c>
      <c r="E312" t="s">
        <v>216</v>
      </c>
      <c r="F312">
        <v>10647.73</v>
      </c>
      <c r="G312">
        <v>11913.47</v>
      </c>
      <c r="H312">
        <v>31942.02</v>
      </c>
      <c r="I312">
        <v>6148.84</v>
      </c>
      <c r="J312" t="s">
        <v>36</v>
      </c>
      <c r="K312">
        <v>11</v>
      </c>
      <c r="L312">
        <v>15</v>
      </c>
      <c r="M312" t="s">
        <v>20</v>
      </c>
      <c r="N312" t="s">
        <v>31</v>
      </c>
    </row>
    <row r="313" spans="1:14" x14ac:dyDescent="0.25">
      <c r="A313" t="s">
        <v>90</v>
      </c>
      <c r="B313" t="s">
        <v>91</v>
      </c>
      <c r="C313" t="s">
        <v>126</v>
      </c>
      <c r="D313" t="s">
        <v>232</v>
      </c>
      <c r="E313" t="s">
        <v>205</v>
      </c>
      <c r="F313">
        <v>11434.72</v>
      </c>
      <c r="G313">
        <v>12533.65</v>
      </c>
      <c r="H313">
        <v>36608.370000000003</v>
      </c>
      <c r="I313">
        <v>9486.7199999999993</v>
      </c>
      <c r="J313" t="s">
        <v>77</v>
      </c>
      <c r="K313">
        <v>8</v>
      </c>
      <c r="L313">
        <v>2</v>
      </c>
      <c r="M313" t="s">
        <v>42</v>
      </c>
      <c r="N313" t="s">
        <v>105</v>
      </c>
    </row>
    <row r="314" spans="1:14" x14ac:dyDescent="0.25">
      <c r="A314" t="s">
        <v>93</v>
      </c>
      <c r="B314" t="s">
        <v>94</v>
      </c>
      <c r="C314" t="s">
        <v>126</v>
      </c>
      <c r="D314" t="s">
        <v>229</v>
      </c>
      <c r="E314" t="s">
        <v>205</v>
      </c>
      <c r="F314">
        <v>43580.11</v>
      </c>
      <c r="G314">
        <v>22634.6</v>
      </c>
      <c r="H314">
        <v>5910.42</v>
      </c>
      <c r="I314">
        <v>1940.64</v>
      </c>
      <c r="J314" t="s">
        <v>77</v>
      </c>
      <c r="K314">
        <v>5</v>
      </c>
      <c r="L314">
        <v>15</v>
      </c>
      <c r="M314" t="s">
        <v>54</v>
      </c>
      <c r="N314" t="s">
        <v>115</v>
      </c>
    </row>
    <row r="315" spans="1:14" x14ac:dyDescent="0.25">
      <c r="A315" t="s">
        <v>96</v>
      </c>
      <c r="B315" t="s">
        <v>97</v>
      </c>
      <c r="C315" t="s">
        <v>126</v>
      </c>
      <c r="D315" t="s">
        <v>229</v>
      </c>
      <c r="E315" t="s">
        <v>205</v>
      </c>
      <c r="F315">
        <v>18646.64</v>
      </c>
      <c r="G315">
        <v>21534.23</v>
      </c>
      <c r="H315" t="s">
        <v>235</v>
      </c>
      <c r="I315">
        <v>18753.84</v>
      </c>
      <c r="J315" t="s">
        <v>41</v>
      </c>
      <c r="K315">
        <v>10</v>
      </c>
      <c r="L315">
        <v>13</v>
      </c>
      <c r="M315" t="s">
        <v>20</v>
      </c>
      <c r="N315" t="s">
        <v>110</v>
      </c>
    </row>
    <row r="316" spans="1:14" x14ac:dyDescent="0.25">
      <c r="A316" t="s">
        <v>14</v>
      </c>
      <c r="B316" t="s">
        <v>15</v>
      </c>
      <c r="C316" t="s">
        <v>34</v>
      </c>
      <c r="D316" t="s">
        <v>236</v>
      </c>
      <c r="E316" t="s">
        <v>205</v>
      </c>
      <c r="F316">
        <v>184620.14</v>
      </c>
      <c r="G316">
        <v>170571.68</v>
      </c>
      <c r="H316">
        <v>675599.23</v>
      </c>
      <c r="I316">
        <v>202364.22</v>
      </c>
      <c r="J316" t="s">
        <v>104</v>
      </c>
      <c r="K316">
        <v>2</v>
      </c>
      <c r="L316">
        <v>8</v>
      </c>
      <c r="M316" t="s">
        <v>42</v>
      </c>
      <c r="N316" t="s">
        <v>73</v>
      </c>
    </row>
    <row r="317" spans="1:14" x14ac:dyDescent="0.25">
      <c r="A317" t="s">
        <v>21</v>
      </c>
      <c r="B317" t="s">
        <v>22</v>
      </c>
      <c r="C317" t="s">
        <v>111</v>
      </c>
      <c r="D317" t="s">
        <v>237</v>
      </c>
      <c r="E317" t="s">
        <v>205</v>
      </c>
      <c r="F317">
        <v>87828.12</v>
      </c>
      <c r="G317">
        <v>155359.54</v>
      </c>
      <c r="H317">
        <v>355803.86</v>
      </c>
      <c r="I317">
        <v>120432.97</v>
      </c>
      <c r="J317" t="s">
        <v>77</v>
      </c>
      <c r="K317">
        <v>5</v>
      </c>
      <c r="L317">
        <v>2</v>
      </c>
      <c r="M317" t="s">
        <v>37</v>
      </c>
      <c r="N317" t="s">
        <v>26</v>
      </c>
    </row>
    <row r="318" spans="1:14" x14ac:dyDescent="0.25">
      <c r="A318" t="s">
        <v>27</v>
      </c>
      <c r="B318" t="s">
        <v>28</v>
      </c>
      <c r="C318" t="s">
        <v>34</v>
      </c>
      <c r="D318" t="s">
        <v>238</v>
      </c>
      <c r="E318" t="s">
        <v>205</v>
      </c>
      <c r="F318">
        <v>188300.57</v>
      </c>
      <c r="G318">
        <v>177406.43</v>
      </c>
      <c r="H318">
        <v>583088.11</v>
      </c>
      <c r="I318">
        <v>152386.51999999999</v>
      </c>
      <c r="J318" t="s">
        <v>36</v>
      </c>
      <c r="K318">
        <v>5</v>
      </c>
      <c r="L318">
        <v>6</v>
      </c>
      <c r="M318" t="s">
        <v>58</v>
      </c>
      <c r="N318" t="s">
        <v>95</v>
      </c>
    </row>
    <row r="319" spans="1:14" x14ac:dyDescent="0.25">
      <c r="A319" t="s">
        <v>32</v>
      </c>
      <c r="B319" t="s">
        <v>33</v>
      </c>
      <c r="C319" t="s">
        <v>34</v>
      </c>
      <c r="D319" t="s">
        <v>237</v>
      </c>
      <c r="E319" t="s">
        <v>205</v>
      </c>
      <c r="F319">
        <v>150203.01</v>
      </c>
      <c r="G319">
        <v>158123.15</v>
      </c>
      <c r="H319">
        <v>642052.28</v>
      </c>
      <c r="I319">
        <v>173729.99</v>
      </c>
      <c r="J319" t="s">
        <v>104</v>
      </c>
      <c r="K319">
        <v>3</v>
      </c>
      <c r="L319">
        <v>8</v>
      </c>
      <c r="M319" t="s">
        <v>42</v>
      </c>
      <c r="N319" t="s">
        <v>127</v>
      </c>
    </row>
    <row r="320" spans="1:14" x14ac:dyDescent="0.25">
      <c r="A320" t="s">
        <v>39</v>
      </c>
      <c r="B320" t="s">
        <v>40</v>
      </c>
      <c r="C320" t="s">
        <v>29</v>
      </c>
      <c r="D320" t="s">
        <v>236</v>
      </c>
      <c r="E320" t="s">
        <v>205</v>
      </c>
      <c r="F320">
        <v>95683.44</v>
      </c>
      <c r="G320">
        <v>90293.85</v>
      </c>
      <c r="H320">
        <v>448514.49</v>
      </c>
      <c r="I320">
        <v>128560.83</v>
      </c>
      <c r="J320" t="s">
        <v>53</v>
      </c>
      <c r="K320">
        <v>3</v>
      </c>
      <c r="L320">
        <v>3</v>
      </c>
      <c r="M320" t="s">
        <v>54</v>
      </c>
      <c r="N320" t="s">
        <v>105</v>
      </c>
    </row>
    <row r="321" spans="1:14" x14ac:dyDescent="0.25">
      <c r="A321" t="s">
        <v>44</v>
      </c>
      <c r="B321" t="s">
        <v>45</v>
      </c>
      <c r="C321" t="s">
        <v>118</v>
      </c>
      <c r="D321" t="s">
        <v>236</v>
      </c>
      <c r="E321" t="s">
        <v>205</v>
      </c>
      <c r="F321">
        <v>152746.87</v>
      </c>
      <c r="G321">
        <v>148735.79</v>
      </c>
      <c r="H321">
        <v>632280.57999999996</v>
      </c>
      <c r="I321">
        <v>166065.47</v>
      </c>
      <c r="J321" t="s">
        <v>25</v>
      </c>
      <c r="K321">
        <v>6</v>
      </c>
      <c r="L321">
        <v>6</v>
      </c>
      <c r="M321" t="s">
        <v>54</v>
      </c>
      <c r="N321" t="s">
        <v>95</v>
      </c>
    </row>
    <row r="322" spans="1:14" x14ac:dyDescent="0.25">
      <c r="A322" t="s">
        <v>49</v>
      </c>
      <c r="B322" t="s">
        <v>50</v>
      </c>
      <c r="C322" t="s">
        <v>76</v>
      </c>
      <c r="D322" t="s">
        <v>237</v>
      </c>
      <c r="E322" t="s">
        <v>205</v>
      </c>
      <c r="F322">
        <v>58257.74</v>
      </c>
      <c r="G322">
        <v>96632.19</v>
      </c>
      <c r="H322">
        <v>235744.33</v>
      </c>
      <c r="I322">
        <v>63887.62</v>
      </c>
      <c r="J322" t="s">
        <v>36</v>
      </c>
      <c r="K322">
        <v>2</v>
      </c>
      <c r="L322">
        <v>3</v>
      </c>
      <c r="M322" t="s">
        <v>177</v>
      </c>
      <c r="N322" t="s">
        <v>125</v>
      </c>
    </row>
    <row r="323" spans="1:14" x14ac:dyDescent="0.25">
      <c r="A323" t="s">
        <v>55</v>
      </c>
      <c r="B323" t="s">
        <v>56</v>
      </c>
      <c r="C323" t="s">
        <v>61</v>
      </c>
      <c r="D323" t="s">
        <v>236</v>
      </c>
      <c r="E323" t="s">
        <v>216</v>
      </c>
      <c r="F323">
        <v>72428.06</v>
      </c>
      <c r="G323">
        <v>76025.27</v>
      </c>
      <c r="H323">
        <v>207858.44</v>
      </c>
      <c r="I323">
        <v>71883.509999999995</v>
      </c>
      <c r="J323" t="s">
        <v>77</v>
      </c>
      <c r="K323">
        <v>5</v>
      </c>
      <c r="L323">
        <v>6</v>
      </c>
      <c r="M323" t="s">
        <v>30</v>
      </c>
      <c r="N323" t="s">
        <v>81</v>
      </c>
    </row>
    <row r="324" spans="1:14" x14ac:dyDescent="0.25">
      <c r="A324" t="s">
        <v>59</v>
      </c>
      <c r="B324" t="s">
        <v>60</v>
      </c>
      <c r="C324" t="s">
        <v>51</v>
      </c>
      <c r="D324" t="s">
        <v>237</v>
      </c>
      <c r="E324" t="s">
        <v>205</v>
      </c>
      <c r="F324">
        <v>666831</v>
      </c>
      <c r="G324">
        <v>35706.550000000003</v>
      </c>
      <c r="H324">
        <v>299996.96999999997</v>
      </c>
      <c r="I324">
        <v>101035.88</v>
      </c>
      <c r="J324" t="s">
        <v>104</v>
      </c>
      <c r="K324">
        <v>3</v>
      </c>
      <c r="L324">
        <v>3</v>
      </c>
      <c r="M324" t="s">
        <v>20</v>
      </c>
    </row>
    <row r="325" spans="1:14" x14ac:dyDescent="0.25">
      <c r="A325" t="s">
        <v>62</v>
      </c>
      <c r="B325" t="s">
        <v>63</v>
      </c>
      <c r="C325" t="s">
        <v>57</v>
      </c>
      <c r="D325" t="s">
        <v>239</v>
      </c>
      <c r="E325" t="s">
        <v>205</v>
      </c>
      <c r="F325">
        <v>65005.89</v>
      </c>
      <c r="G325">
        <v>59587.199999999997</v>
      </c>
      <c r="H325">
        <v>194321.39</v>
      </c>
      <c r="I325">
        <v>63039.17</v>
      </c>
      <c r="J325" t="s">
        <v>36</v>
      </c>
      <c r="K325">
        <v>6</v>
      </c>
      <c r="L325">
        <v>5</v>
      </c>
      <c r="M325" t="s">
        <v>30</v>
      </c>
      <c r="N325" t="s">
        <v>38</v>
      </c>
    </row>
    <row r="326" spans="1:14" x14ac:dyDescent="0.25">
      <c r="A326" t="s">
        <v>68</v>
      </c>
      <c r="B326" t="s">
        <v>69</v>
      </c>
      <c r="C326" t="s">
        <v>76</v>
      </c>
      <c r="D326" t="s">
        <v>239</v>
      </c>
      <c r="E326" t="s">
        <v>214</v>
      </c>
      <c r="F326">
        <v>52177.8</v>
      </c>
      <c r="G326">
        <v>50187.18</v>
      </c>
      <c r="H326">
        <v>175437.44</v>
      </c>
      <c r="I326">
        <v>44867.76</v>
      </c>
      <c r="J326" t="s">
        <v>25</v>
      </c>
      <c r="K326">
        <v>5</v>
      </c>
      <c r="L326">
        <v>5</v>
      </c>
      <c r="M326" t="s">
        <v>20</v>
      </c>
      <c r="N326" t="s">
        <v>43</v>
      </c>
    </row>
    <row r="327" spans="1:14" x14ac:dyDescent="0.25">
      <c r="A327" t="s">
        <v>74</v>
      </c>
      <c r="B327" t="s">
        <v>75</v>
      </c>
      <c r="C327" t="s">
        <v>61</v>
      </c>
      <c r="D327" t="s">
        <v>237</v>
      </c>
      <c r="E327" t="s">
        <v>205</v>
      </c>
      <c r="F327">
        <v>65876.14</v>
      </c>
      <c r="G327">
        <v>58833.440000000002</v>
      </c>
      <c r="H327">
        <v>242854.56</v>
      </c>
      <c r="I327">
        <v>84447.46</v>
      </c>
      <c r="J327" t="s">
        <v>77</v>
      </c>
      <c r="K327">
        <v>1</v>
      </c>
      <c r="L327">
        <v>5</v>
      </c>
      <c r="M327" t="s">
        <v>64</v>
      </c>
      <c r="N327" t="s">
        <v>43</v>
      </c>
    </row>
    <row r="328" spans="1:14" x14ac:dyDescent="0.25">
      <c r="A328" t="s">
        <v>78</v>
      </c>
      <c r="B328" t="s">
        <v>79</v>
      </c>
      <c r="C328" t="s">
        <v>126</v>
      </c>
      <c r="D328" t="s">
        <v>237</v>
      </c>
      <c r="E328" t="s">
        <v>215</v>
      </c>
      <c r="F328">
        <v>30471.66</v>
      </c>
      <c r="G328">
        <v>27263.96</v>
      </c>
      <c r="H328">
        <v>79396.42</v>
      </c>
      <c r="I328">
        <v>25556.080000000002</v>
      </c>
      <c r="J328" t="s">
        <v>19</v>
      </c>
      <c r="K328">
        <v>6</v>
      </c>
      <c r="L328">
        <v>9</v>
      </c>
      <c r="M328" t="s">
        <v>20</v>
      </c>
      <c r="N328" t="s">
        <v>73</v>
      </c>
    </row>
    <row r="329" spans="1:14" x14ac:dyDescent="0.25">
      <c r="A329" t="s">
        <v>82</v>
      </c>
      <c r="B329" t="s">
        <v>83</v>
      </c>
      <c r="C329" t="s">
        <v>116</v>
      </c>
      <c r="D329" t="s">
        <v>240</v>
      </c>
      <c r="E329" t="s">
        <v>205</v>
      </c>
      <c r="F329">
        <v>28186.07</v>
      </c>
      <c r="G329">
        <v>14162.81</v>
      </c>
      <c r="H329">
        <v>105208.04</v>
      </c>
      <c r="I329">
        <v>29648.84</v>
      </c>
      <c r="J329" t="s">
        <v>77</v>
      </c>
      <c r="K329">
        <v>7</v>
      </c>
      <c r="L329">
        <v>6</v>
      </c>
      <c r="M329" t="s">
        <v>54</v>
      </c>
      <c r="N329" t="s">
        <v>113</v>
      </c>
    </row>
    <row r="330" spans="1:14" x14ac:dyDescent="0.25">
      <c r="A330" t="s">
        <v>84</v>
      </c>
      <c r="B330" t="s">
        <v>85</v>
      </c>
      <c r="C330" t="s">
        <v>89</v>
      </c>
      <c r="D330" t="s">
        <v>241</v>
      </c>
      <c r="E330" t="s">
        <v>205</v>
      </c>
      <c r="F330">
        <v>12396.88</v>
      </c>
      <c r="G330">
        <v>9660.33</v>
      </c>
      <c r="H330">
        <v>45280.95</v>
      </c>
      <c r="I330">
        <v>10901.64</v>
      </c>
      <c r="J330" t="s">
        <v>19</v>
      </c>
      <c r="K330">
        <v>2</v>
      </c>
      <c r="L330">
        <v>7</v>
      </c>
      <c r="M330" t="s">
        <v>20</v>
      </c>
      <c r="N330" t="s">
        <v>125</v>
      </c>
    </row>
    <row r="331" spans="1:14" x14ac:dyDescent="0.25">
      <c r="A331" t="s">
        <v>87</v>
      </c>
      <c r="B331" t="s">
        <v>88</v>
      </c>
      <c r="C331" t="s">
        <v>137</v>
      </c>
      <c r="D331" t="s">
        <v>241</v>
      </c>
      <c r="E331" t="s">
        <v>205</v>
      </c>
      <c r="F331">
        <v>24166.59</v>
      </c>
      <c r="G331">
        <v>20144.490000000002</v>
      </c>
      <c r="H331">
        <v>113126.39999999999</v>
      </c>
      <c r="I331">
        <v>33535.69</v>
      </c>
      <c r="J331" t="s">
        <v>41</v>
      </c>
      <c r="K331">
        <v>6</v>
      </c>
      <c r="L331">
        <v>7</v>
      </c>
      <c r="M331" t="s">
        <v>42</v>
      </c>
      <c r="N331" t="s">
        <v>127</v>
      </c>
    </row>
    <row r="332" spans="1:14" x14ac:dyDescent="0.25">
      <c r="A332" t="s">
        <v>90</v>
      </c>
      <c r="B332" t="s">
        <v>91</v>
      </c>
      <c r="C332" t="s">
        <v>89</v>
      </c>
      <c r="D332" t="s">
        <v>237</v>
      </c>
      <c r="E332" t="s">
        <v>205</v>
      </c>
      <c r="F332">
        <v>21591.34</v>
      </c>
      <c r="G332">
        <v>25170.9</v>
      </c>
      <c r="H332">
        <v>1042399</v>
      </c>
      <c r="I332">
        <v>32905.29</v>
      </c>
      <c r="J332" t="s">
        <v>19</v>
      </c>
      <c r="K332">
        <v>10</v>
      </c>
      <c r="L332">
        <v>14</v>
      </c>
      <c r="M332" t="s">
        <v>54</v>
      </c>
      <c r="N332" t="s">
        <v>95</v>
      </c>
    </row>
    <row r="333" spans="1:14" x14ac:dyDescent="0.25">
      <c r="A333" t="s">
        <v>93</v>
      </c>
      <c r="B333" t="s">
        <v>94</v>
      </c>
      <c r="C333" t="s">
        <v>126</v>
      </c>
      <c r="D333" t="s">
        <v>238</v>
      </c>
      <c r="E333" t="s">
        <v>205</v>
      </c>
      <c r="F333">
        <v>26954.720000000001</v>
      </c>
      <c r="G333">
        <v>15469.77</v>
      </c>
      <c r="H333">
        <v>5739.06</v>
      </c>
      <c r="I333">
        <v>1249.97</v>
      </c>
      <c r="J333" t="s">
        <v>53</v>
      </c>
      <c r="K333">
        <v>4</v>
      </c>
      <c r="L333">
        <v>4</v>
      </c>
      <c r="M333" t="s">
        <v>42</v>
      </c>
    </row>
    <row r="334" spans="1:14" x14ac:dyDescent="0.25">
      <c r="A334" t="s">
        <v>96</v>
      </c>
      <c r="B334" t="s">
        <v>97</v>
      </c>
      <c r="C334" t="s">
        <v>89</v>
      </c>
      <c r="D334" t="s">
        <v>237</v>
      </c>
      <c r="E334" t="s">
        <v>205</v>
      </c>
      <c r="F334">
        <v>9147.9599999999991</v>
      </c>
      <c r="G334">
        <v>7354.12</v>
      </c>
      <c r="H334">
        <v>37959.19</v>
      </c>
      <c r="I334">
        <v>9859.67</v>
      </c>
      <c r="J334" t="s">
        <v>36</v>
      </c>
      <c r="K334">
        <v>6</v>
      </c>
      <c r="L334">
        <v>14</v>
      </c>
      <c r="M334" t="s">
        <v>42</v>
      </c>
      <c r="N334" t="s">
        <v>113</v>
      </c>
    </row>
    <row r="335" spans="1:14" x14ac:dyDescent="0.25">
      <c r="A335" t="s">
        <v>14</v>
      </c>
      <c r="B335" t="s">
        <v>15</v>
      </c>
      <c r="C335" t="s">
        <v>16</v>
      </c>
      <c r="D335" t="s">
        <v>242</v>
      </c>
      <c r="E335" t="s">
        <v>205</v>
      </c>
      <c r="F335">
        <v>198420.61</v>
      </c>
      <c r="G335">
        <v>212448</v>
      </c>
      <c r="H335">
        <v>670762.51</v>
      </c>
      <c r="I335">
        <v>209771.83</v>
      </c>
      <c r="J335" t="s">
        <v>53</v>
      </c>
      <c r="K335">
        <v>5</v>
      </c>
      <c r="L335">
        <v>6</v>
      </c>
      <c r="M335" t="s">
        <v>54</v>
      </c>
    </row>
    <row r="336" spans="1:14" x14ac:dyDescent="0.25">
      <c r="A336" t="s">
        <v>27</v>
      </c>
      <c r="B336" t="s">
        <v>28</v>
      </c>
      <c r="C336" t="s">
        <v>118</v>
      </c>
      <c r="D336" t="s">
        <v>243</v>
      </c>
      <c r="E336" t="s">
        <v>205</v>
      </c>
      <c r="F336">
        <v>209392.49</v>
      </c>
      <c r="G336">
        <v>223479.66</v>
      </c>
      <c r="H336">
        <v>715317.75</v>
      </c>
      <c r="I336">
        <v>182222.33</v>
      </c>
      <c r="J336" t="s">
        <v>104</v>
      </c>
      <c r="K336">
        <v>1</v>
      </c>
      <c r="L336">
        <v>8</v>
      </c>
      <c r="M336" t="s">
        <v>42</v>
      </c>
    </row>
    <row r="337" spans="1:14" x14ac:dyDescent="0.25">
      <c r="A337" t="s">
        <v>32</v>
      </c>
      <c r="B337" t="s">
        <v>33</v>
      </c>
      <c r="C337" t="s">
        <v>34</v>
      </c>
      <c r="D337" t="s">
        <v>244</v>
      </c>
      <c r="E337" t="s">
        <v>205</v>
      </c>
      <c r="F337">
        <v>186718.32</v>
      </c>
      <c r="G337">
        <v>192834.64</v>
      </c>
      <c r="H337">
        <v>505188.78</v>
      </c>
      <c r="I337">
        <v>123979.79</v>
      </c>
      <c r="J337" t="s">
        <v>53</v>
      </c>
      <c r="K337">
        <v>4</v>
      </c>
      <c r="L337">
        <v>1</v>
      </c>
      <c r="M337" t="s">
        <v>42</v>
      </c>
    </row>
    <row r="338" spans="1:14" x14ac:dyDescent="0.25">
      <c r="A338" t="s">
        <v>39</v>
      </c>
      <c r="B338" t="s">
        <v>40</v>
      </c>
      <c r="C338" t="s">
        <v>118</v>
      </c>
      <c r="D338" t="s">
        <v>243</v>
      </c>
      <c r="E338" t="s">
        <v>205</v>
      </c>
      <c r="F338">
        <v>131441.79999999999</v>
      </c>
      <c r="G338">
        <v>121195.35</v>
      </c>
      <c r="H338">
        <v>549458.07999999996</v>
      </c>
      <c r="I338">
        <v>147723.24</v>
      </c>
      <c r="J338" t="s">
        <v>36</v>
      </c>
      <c r="K338">
        <v>6</v>
      </c>
      <c r="L338">
        <v>8</v>
      </c>
      <c r="M338" t="s">
        <v>58</v>
      </c>
      <c r="N338" t="s">
        <v>101</v>
      </c>
    </row>
    <row r="339" spans="1:14" x14ac:dyDescent="0.25">
      <c r="A339" t="s">
        <v>44</v>
      </c>
      <c r="B339" t="s">
        <v>45</v>
      </c>
      <c r="C339" t="s">
        <v>111</v>
      </c>
      <c r="D339" t="s">
        <v>243</v>
      </c>
      <c r="E339" t="s">
        <v>205</v>
      </c>
      <c r="F339">
        <v>163294.51999999999</v>
      </c>
      <c r="G339">
        <v>176114.08</v>
      </c>
      <c r="H339">
        <v>503302.13</v>
      </c>
      <c r="I339">
        <v>133298.92000000001</v>
      </c>
      <c r="J339" t="s">
        <v>41</v>
      </c>
      <c r="K339">
        <v>6</v>
      </c>
      <c r="L339">
        <v>2</v>
      </c>
      <c r="M339" t="s">
        <v>54</v>
      </c>
      <c r="N339" t="s">
        <v>110</v>
      </c>
    </row>
    <row r="340" spans="1:14" x14ac:dyDescent="0.25">
      <c r="A340" t="s">
        <v>49</v>
      </c>
      <c r="B340" t="s">
        <v>50</v>
      </c>
      <c r="C340" t="s">
        <v>57</v>
      </c>
      <c r="D340" t="s">
        <v>245</v>
      </c>
      <c r="E340" t="s">
        <v>205</v>
      </c>
      <c r="F340">
        <v>33202.839999999997</v>
      </c>
      <c r="G340">
        <v>54959.11</v>
      </c>
      <c r="H340">
        <v>144249.60999999999</v>
      </c>
      <c r="I340">
        <v>38180.410000000003</v>
      </c>
      <c r="J340" t="s">
        <v>53</v>
      </c>
      <c r="K340">
        <v>1</v>
      </c>
      <c r="L340">
        <v>2</v>
      </c>
      <c r="M340" t="s">
        <v>130</v>
      </c>
    </row>
    <row r="341" spans="1:14" x14ac:dyDescent="0.25">
      <c r="A341" t="s">
        <v>55</v>
      </c>
      <c r="B341" t="s">
        <v>56</v>
      </c>
      <c r="C341" t="s">
        <v>61</v>
      </c>
      <c r="D341" t="s">
        <v>242</v>
      </c>
      <c r="E341" t="s">
        <v>205</v>
      </c>
      <c r="F341">
        <v>42115.91</v>
      </c>
      <c r="G341">
        <v>44163.92</v>
      </c>
      <c r="H341">
        <v>158439.48000000001</v>
      </c>
      <c r="I341">
        <v>50322.26</v>
      </c>
      <c r="J341" t="s">
        <v>77</v>
      </c>
      <c r="K341">
        <v>5</v>
      </c>
      <c r="L341">
        <v>8</v>
      </c>
      <c r="M341" t="s">
        <v>30</v>
      </c>
      <c r="N341" t="s">
        <v>73</v>
      </c>
    </row>
    <row r="342" spans="1:14" x14ac:dyDescent="0.25">
      <c r="A342" t="s">
        <v>59</v>
      </c>
      <c r="B342" t="s">
        <v>60</v>
      </c>
      <c r="C342" t="s">
        <v>57</v>
      </c>
      <c r="D342" t="s">
        <v>242</v>
      </c>
      <c r="E342" t="s">
        <v>205</v>
      </c>
      <c r="F342">
        <v>53048.36</v>
      </c>
      <c r="G342">
        <v>27917.19</v>
      </c>
      <c r="H342">
        <v>208062.99</v>
      </c>
      <c r="I342">
        <v>57039.07</v>
      </c>
      <c r="J342" t="s">
        <v>36</v>
      </c>
      <c r="K342">
        <v>5</v>
      </c>
      <c r="L342">
        <v>2</v>
      </c>
      <c r="M342" t="s">
        <v>20</v>
      </c>
      <c r="N342" t="s">
        <v>73</v>
      </c>
    </row>
    <row r="343" spans="1:14" x14ac:dyDescent="0.25">
      <c r="A343" t="s">
        <v>62</v>
      </c>
      <c r="B343" t="s">
        <v>63</v>
      </c>
      <c r="C343" t="s">
        <v>61</v>
      </c>
      <c r="D343" t="s">
        <v>245</v>
      </c>
      <c r="E343" t="s">
        <v>216</v>
      </c>
      <c r="F343">
        <v>31688.82</v>
      </c>
      <c r="G343">
        <v>27364.42</v>
      </c>
      <c r="H343">
        <v>106860.78</v>
      </c>
      <c r="I343">
        <v>19723.61</v>
      </c>
      <c r="J343" t="s">
        <v>77</v>
      </c>
      <c r="K343">
        <v>6</v>
      </c>
      <c r="L343">
        <v>6</v>
      </c>
      <c r="M343" t="s">
        <v>30</v>
      </c>
      <c r="N343" t="s">
        <v>26</v>
      </c>
    </row>
    <row r="344" spans="1:14" x14ac:dyDescent="0.25">
      <c r="A344" t="s">
        <v>66</v>
      </c>
      <c r="B344" t="s">
        <v>67</v>
      </c>
      <c r="C344" t="s">
        <v>57</v>
      </c>
      <c r="D344" t="s">
        <v>243</v>
      </c>
      <c r="E344" t="s">
        <v>205</v>
      </c>
      <c r="F344">
        <v>33930.01</v>
      </c>
      <c r="G344">
        <v>31944.22</v>
      </c>
      <c r="H344">
        <v>99226.57</v>
      </c>
      <c r="I344">
        <v>18491.29</v>
      </c>
      <c r="J344" t="s">
        <v>25</v>
      </c>
      <c r="K344">
        <v>6</v>
      </c>
      <c r="L344">
        <v>6</v>
      </c>
      <c r="M344" t="s">
        <v>54</v>
      </c>
      <c r="N344" t="s">
        <v>81</v>
      </c>
    </row>
    <row r="345" spans="1:14" x14ac:dyDescent="0.25">
      <c r="A345" t="s">
        <v>68</v>
      </c>
      <c r="B345" t="s">
        <v>69</v>
      </c>
      <c r="C345" t="s">
        <v>114</v>
      </c>
      <c r="D345" t="s">
        <v>243</v>
      </c>
      <c r="E345" t="s">
        <v>205</v>
      </c>
      <c r="F345">
        <v>78499.59</v>
      </c>
      <c r="G345">
        <v>69080.98</v>
      </c>
      <c r="H345">
        <v>262182.26</v>
      </c>
      <c r="I345">
        <v>81285.33</v>
      </c>
      <c r="J345" t="s">
        <v>41</v>
      </c>
      <c r="K345">
        <v>3</v>
      </c>
      <c r="L345">
        <v>4</v>
      </c>
      <c r="M345" t="s">
        <v>42</v>
      </c>
      <c r="N345" t="s">
        <v>73</v>
      </c>
    </row>
    <row r="346" spans="1:14" x14ac:dyDescent="0.25">
      <c r="A346" t="s">
        <v>74</v>
      </c>
      <c r="B346" t="s">
        <v>75</v>
      </c>
      <c r="C346" t="s">
        <v>114</v>
      </c>
      <c r="D346" t="s">
        <v>242</v>
      </c>
      <c r="E346" t="s">
        <v>205</v>
      </c>
      <c r="F346">
        <v>47839.22</v>
      </c>
      <c r="G346">
        <v>48894.37</v>
      </c>
      <c r="H346">
        <v>194295.66</v>
      </c>
      <c r="I346">
        <v>58679.26</v>
      </c>
      <c r="J346" t="s">
        <v>53</v>
      </c>
      <c r="K346">
        <v>5</v>
      </c>
      <c r="L346">
        <v>4</v>
      </c>
      <c r="M346" t="s">
        <v>42</v>
      </c>
      <c r="N346" t="s">
        <v>73</v>
      </c>
    </row>
    <row r="347" spans="1:14" x14ac:dyDescent="0.25">
      <c r="A347" t="s">
        <v>78</v>
      </c>
      <c r="B347" t="s">
        <v>79</v>
      </c>
      <c r="C347" t="s">
        <v>126</v>
      </c>
      <c r="D347" t="s">
        <v>242</v>
      </c>
      <c r="E347" t="s">
        <v>205</v>
      </c>
      <c r="F347">
        <v>16097.54</v>
      </c>
      <c r="G347">
        <v>17413.169999999998</v>
      </c>
      <c r="H347">
        <v>48295.73</v>
      </c>
      <c r="I347">
        <v>13824.36</v>
      </c>
      <c r="J347" t="s">
        <v>53</v>
      </c>
      <c r="K347">
        <v>9</v>
      </c>
      <c r="L347">
        <v>7</v>
      </c>
      <c r="M347" t="s">
        <v>54</v>
      </c>
      <c r="N347" t="s">
        <v>110</v>
      </c>
    </row>
    <row r="348" spans="1:14" x14ac:dyDescent="0.25">
      <c r="A348" t="s">
        <v>82</v>
      </c>
      <c r="B348" t="s">
        <v>83</v>
      </c>
      <c r="C348" t="s">
        <v>116</v>
      </c>
      <c r="D348" t="s">
        <v>243</v>
      </c>
      <c r="E348" t="s">
        <v>205</v>
      </c>
      <c r="F348">
        <v>34942.25</v>
      </c>
      <c r="G348">
        <v>19369.23</v>
      </c>
      <c r="H348">
        <v>3149.33</v>
      </c>
      <c r="I348">
        <v>814.49</v>
      </c>
      <c r="J348" t="s">
        <v>53</v>
      </c>
      <c r="K348">
        <v>5</v>
      </c>
      <c r="L348">
        <v>11</v>
      </c>
      <c r="M348" t="s">
        <v>42</v>
      </c>
      <c r="N348" t="s">
        <v>73</v>
      </c>
    </row>
    <row r="349" spans="1:14" x14ac:dyDescent="0.25">
      <c r="A349" t="s">
        <v>84</v>
      </c>
      <c r="B349" t="s">
        <v>85</v>
      </c>
      <c r="C349" t="s">
        <v>116</v>
      </c>
      <c r="D349" t="s">
        <v>243</v>
      </c>
      <c r="E349" t="s">
        <v>205</v>
      </c>
      <c r="F349" t="s">
        <v>246</v>
      </c>
      <c r="G349">
        <v>15679.46</v>
      </c>
      <c r="H349">
        <v>468207</v>
      </c>
      <c r="I349">
        <v>8535.07</v>
      </c>
      <c r="J349" t="s">
        <v>41</v>
      </c>
      <c r="K349">
        <v>6</v>
      </c>
      <c r="L349">
        <v>8</v>
      </c>
      <c r="M349" t="s">
        <v>54</v>
      </c>
      <c r="N349" t="s">
        <v>115</v>
      </c>
    </row>
    <row r="350" spans="1:14" x14ac:dyDescent="0.25">
      <c r="A350" t="s">
        <v>87</v>
      </c>
      <c r="B350" t="s">
        <v>88</v>
      </c>
      <c r="C350" t="s">
        <v>86</v>
      </c>
      <c r="D350" t="s">
        <v>242</v>
      </c>
      <c r="E350" t="s">
        <v>205</v>
      </c>
      <c r="F350">
        <v>21117.73</v>
      </c>
      <c r="G350">
        <v>16048.51</v>
      </c>
      <c r="H350">
        <v>100124.74</v>
      </c>
      <c r="I350">
        <v>23094.42</v>
      </c>
      <c r="J350" t="s">
        <v>77</v>
      </c>
      <c r="K350">
        <v>3</v>
      </c>
      <c r="L350">
        <v>15</v>
      </c>
      <c r="M350" t="s">
        <v>130</v>
      </c>
      <c r="N350" t="s">
        <v>127</v>
      </c>
    </row>
    <row r="351" spans="1:14" x14ac:dyDescent="0.25">
      <c r="A351" t="s">
        <v>90</v>
      </c>
      <c r="B351" t="s">
        <v>91</v>
      </c>
      <c r="C351" t="s">
        <v>86</v>
      </c>
      <c r="D351" t="s">
        <v>243</v>
      </c>
      <c r="E351" t="s">
        <v>215</v>
      </c>
      <c r="F351">
        <v>30382.5</v>
      </c>
      <c r="G351">
        <v>37213.620000000003</v>
      </c>
      <c r="H351">
        <v>95082.65</v>
      </c>
      <c r="I351">
        <v>20963.16</v>
      </c>
      <c r="J351" t="s">
        <v>36</v>
      </c>
      <c r="K351">
        <v>3</v>
      </c>
      <c r="L351">
        <v>10</v>
      </c>
      <c r="M351" t="s">
        <v>42</v>
      </c>
      <c r="N351" t="s">
        <v>110</v>
      </c>
    </row>
    <row r="352" spans="1:14" x14ac:dyDescent="0.25">
      <c r="A352" t="s">
        <v>93</v>
      </c>
      <c r="B352" t="s">
        <v>94</v>
      </c>
      <c r="C352" t="s">
        <v>86</v>
      </c>
      <c r="D352" t="s">
        <v>244</v>
      </c>
      <c r="E352" t="s">
        <v>214</v>
      </c>
      <c r="F352" t="s">
        <v>247</v>
      </c>
      <c r="G352">
        <v>23190.48</v>
      </c>
      <c r="H352">
        <v>139407.92000000001</v>
      </c>
      <c r="I352">
        <v>41273.879999999997</v>
      </c>
      <c r="J352" t="s">
        <v>104</v>
      </c>
      <c r="K352">
        <v>6</v>
      </c>
      <c r="L352">
        <v>3</v>
      </c>
      <c r="M352" t="s">
        <v>58</v>
      </c>
      <c r="N352" t="s">
        <v>105</v>
      </c>
    </row>
    <row r="353" spans="1:14" x14ac:dyDescent="0.25">
      <c r="A353" t="s">
        <v>96</v>
      </c>
      <c r="B353" t="s">
        <v>97</v>
      </c>
      <c r="C353" t="s">
        <v>137</v>
      </c>
      <c r="D353" t="s">
        <v>243</v>
      </c>
      <c r="E353" t="s">
        <v>214</v>
      </c>
      <c r="F353">
        <v>18386.64</v>
      </c>
      <c r="G353">
        <v>19664.04</v>
      </c>
      <c r="H353">
        <v>62645.8</v>
      </c>
      <c r="I353">
        <v>12576.09</v>
      </c>
      <c r="J353" t="s">
        <v>53</v>
      </c>
      <c r="K353">
        <v>5</v>
      </c>
      <c r="L353">
        <v>13</v>
      </c>
      <c r="M353" t="s">
        <v>20</v>
      </c>
      <c r="N353" t="s">
        <v>125</v>
      </c>
    </row>
    <row r="354" spans="1:14" x14ac:dyDescent="0.25">
      <c r="A354" t="s">
        <v>14</v>
      </c>
      <c r="B354" t="s">
        <v>15</v>
      </c>
      <c r="C354" t="s">
        <v>111</v>
      </c>
      <c r="D354" t="s">
        <v>248</v>
      </c>
      <c r="E354" t="s">
        <v>205</v>
      </c>
      <c r="F354">
        <v>168389.38</v>
      </c>
      <c r="G354">
        <v>178613.1</v>
      </c>
      <c r="H354">
        <v>753255.11</v>
      </c>
      <c r="I354">
        <v>145842.29999999999</v>
      </c>
      <c r="J354" t="s">
        <v>77</v>
      </c>
      <c r="K354">
        <v>4</v>
      </c>
      <c r="L354">
        <v>7</v>
      </c>
      <c r="M354" t="s">
        <v>20</v>
      </c>
    </row>
    <row r="355" spans="1:14" x14ac:dyDescent="0.25">
      <c r="A355" t="s">
        <v>21</v>
      </c>
      <c r="B355" t="s">
        <v>22</v>
      </c>
      <c r="C355" t="s">
        <v>16</v>
      </c>
      <c r="D355" t="s">
        <v>249</v>
      </c>
      <c r="E355" t="s">
        <v>205</v>
      </c>
      <c r="F355">
        <v>114017.92</v>
      </c>
      <c r="G355">
        <v>185954.08</v>
      </c>
      <c r="H355">
        <v>510520.76</v>
      </c>
      <c r="I355">
        <v>126666.59</v>
      </c>
      <c r="J355" t="s">
        <v>53</v>
      </c>
      <c r="K355">
        <v>6</v>
      </c>
      <c r="L355">
        <v>8</v>
      </c>
      <c r="M355" t="s">
        <v>54</v>
      </c>
    </row>
    <row r="356" spans="1:14" x14ac:dyDescent="0.25">
      <c r="A356" t="s">
        <v>27</v>
      </c>
      <c r="B356" t="s">
        <v>28</v>
      </c>
      <c r="C356" t="s">
        <v>29</v>
      </c>
      <c r="D356" t="s">
        <v>249</v>
      </c>
      <c r="E356" t="s">
        <v>205</v>
      </c>
      <c r="F356">
        <v>190969.92</v>
      </c>
      <c r="G356">
        <v>185451.63</v>
      </c>
      <c r="H356">
        <v>894458.16</v>
      </c>
      <c r="I356">
        <v>187381.32</v>
      </c>
      <c r="J356" t="s">
        <v>41</v>
      </c>
      <c r="K356">
        <v>5</v>
      </c>
      <c r="L356">
        <v>8</v>
      </c>
      <c r="M356" t="s">
        <v>42</v>
      </c>
      <c r="N356" t="s">
        <v>113</v>
      </c>
    </row>
    <row r="357" spans="1:14" x14ac:dyDescent="0.25">
      <c r="A357" t="s">
        <v>32</v>
      </c>
      <c r="B357" t="s">
        <v>33</v>
      </c>
      <c r="C357" t="s">
        <v>118</v>
      </c>
      <c r="D357" t="s">
        <v>248</v>
      </c>
      <c r="E357" t="s">
        <v>205</v>
      </c>
      <c r="F357">
        <v>209235.73</v>
      </c>
      <c r="G357">
        <v>214160.53</v>
      </c>
      <c r="H357">
        <v>997450.15</v>
      </c>
      <c r="I357">
        <v>213160.34</v>
      </c>
      <c r="J357" t="s">
        <v>104</v>
      </c>
      <c r="K357">
        <v>6</v>
      </c>
      <c r="L357">
        <v>4</v>
      </c>
      <c r="M357" t="s">
        <v>30</v>
      </c>
    </row>
    <row r="358" spans="1:14" x14ac:dyDescent="0.25">
      <c r="A358" t="s">
        <v>39</v>
      </c>
      <c r="B358" t="s">
        <v>40</v>
      </c>
      <c r="C358" t="s">
        <v>118</v>
      </c>
      <c r="D358" t="s">
        <v>249</v>
      </c>
      <c r="E358" t="s">
        <v>205</v>
      </c>
      <c r="F358">
        <v>208798.47</v>
      </c>
      <c r="G358">
        <v>207251.95</v>
      </c>
      <c r="H358">
        <v>583859.16</v>
      </c>
      <c r="I358">
        <v>124007.31</v>
      </c>
      <c r="J358" t="s">
        <v>41</v>
      </c>
      <c r="K358">
        <v>3</v>
      </c>
      <c r="L358">
        <v>8</v>
      </c>
      <c r="M358" t="s">
        <v>20</v>
      </c>
      <c r="N358" t="s">
        <v>65</v>
      </c>
    </row>
    <row r="359" spans="1:14" x14ac:dyDescent="0.25">
      <c r="A359" t="s">
        <v>44</v>
      </c>
      <c r="B359" t="s">
        <v>45</v>
      </c>
      <c r="C359" t="s">
        <v>16</v>
      </c>
      <c r="D359" t="s">
        <v>249</v>
      </c>
      <c r="E359" t="s">
        <v>205</v>
      </c>
      <c r="F359">
        <v>190944.89</v>
      </c>
      <c r="G359">
        <v>176548.36</v>
      </c>
      <c r="H359">
        <v>589774.18000000005</v>
      </c>
      <c r="I359">
        <v>131056.11</v>
      </c>
      <c r="J359" t="s">
        <v>25</v>
      </c>
      <c r="K359">
        <v>5</v>
      </c>
      <c r="L359">
        <v>5</v>
      </c>
      <c r="M359" t="s">
        <v>20</v>
      </c>
      <c r="N359" t="s">
        <v>65</v>
      </c>
    </row>
    <row r="360" spans="1:14" x14ac:dyDescent="0.25">
      <c r="A360" t="s">
        <v>49</v>
      </c>
      <c r="B360" t="s">
        <v>50</v>
      </c>
      <c r="C360" t="s">
        <v>76</v>
      </c>
      <c r="D360" t="s">
        <v>249</v>
      </c>
      <c r="E360" t="s">
        <v>205</v>
      </c>
      <c r="F360">
        <v>36032.25</v>
      </c>
      <c r="G360">
        <v>56713.72</v>
      </c>
      <c r="H360">
        <v>132502.51</v>
      </c>
      <c r="I360">
        <v>37509.29</v>
      </c>
      <c r="J360" t="s">
        <v>41</v>
      </c>
      <c r="K360">
        <v>6</v>
      </c>
      <c r="L360">
        <v>4</v>
      </c>
      <c r="M360" t="s">
        <v>64</v>
      </c>
    </row>
    <row r="361" spans="1:14" x14ac:dyDescent="0.25">
      <c r="A361" t="s">
        <v>59</v>
      </c>
      <c r="B361" t="s">
        <v>60</v>
      </c>
      <c r="C361" t="s">
        <v>61</v>
      </c>
      <c r="D361" t="s">
        <v>250</v>
      </c>
      <c r="E361" t="s">
        <v>216</v>
      </c>
      <c r="F361">
        <v>53612.81</v>
      </c>
      <c r="G361">
        <v>28570.52</v>
      </c>
      <c r="H361">
        <v>176562.7</v>
      </c>
      <c r="I361">
        <v>36037.379999999997</v>
      </c>
      <c r="J361" t="s">
        <v>36</v>
      </c>
      <c r="K361">
        <v>1</v>
      </c>
      <c r="L361">
        <v>2</v>
      </c>
      <c r="M361" t="s">
        <v>58</v>
      </c>
    </row>
    <row r="362" spans="1:14" x14ac:dyDescent="0.25">
      <c r="A362" t="s">
        <v>62</v>
      </c>
      <c r="B362" t="s">
        <v>63</v>
      </c>
      <c r="C362" t="s">
        <v>51</v>
      </c>
      <c r="D362" t="s">
        <v>251</v>
      </c>
      <c r="E362" t="s">
        <v>205</v>
      </c>
      <c r="F362">
        <v>83560.31</v>
      </c>
      <c r="G362">
        <v>78936.320000000007</v>
      </c>
      <c r="H362">
        <v>368433.15</v>
      </c>
      <c r="I362">
        <v>119746.57</v>
      </c>
      <c r="J362" t="s">
        <v>25</v>
      </c>
      <c r="K362">
        <v>6</v>
      </c>
      <c r="L362">
        <v>8</v>
      </c>
      <c r="M362" t="s">
        <v>20</v>
      </c>
      <c r="N362" t="s">
        <v>127</v>
      </c>
    </row>
    <row r="363" spans="1:14" x14ac:dyDescent="0.25">
      <c r="A363" t="s">
        <v>66</v>
      </c>
      <c r="B363" t="s">
        <v>67</v>
      </c>
      <c r="C363" t="s">
        <v>51</v>
      </c>
      <c r="D363" t="s">
        <v>252</v>
      </c>
      <c r="E363" t="s">
        <v>205</v>
      </c>
      <c r="F363">
        <v>85632.38</v>
      </c>
      <c r="G363">
        <v>73835.45</v>
      </c>
      <c r="H363">
        <v>425768.17</v>
      </c>
      <c r="I363">
        <v>109771.19</v>
      </c>
      <c r="J363" t="s">
        <v>36</v>
      </c>
      <c r="K363">
        <v>1</v>
      </c>
      <c r="L363">
        <v>6</v>
      </c>
      <c r="M363" t="s">
        <v>58</v>
      </c>
    </row>
    <row r="364" spans="1:14" x14ac:dyDescent="0.25">
      <c r="A364" t="s">
        <v>68</v>
      </c>
      <c r="B364" t="s">
        <v>69</v>
      </c>
      <c r="C364" t="s">
        <v>76</v>
      </c>
      <c r="D364" t="s">
        <v>249</v>
      </c>
      <c r="E364" t="s">
        <v>205</v>
      </c>
      <c r="F364">
        <v>65140.639999999999</v>
      </c>
      <c r="G364">
        <v>66773.34</v>
      </c>
      <c r="H364">
        <v>248514.07</v>
      </c>
      <c r="I364">
        <v>62325.15</v>
      </c>
      <c r="J364" t="s">
        <v>104</v>
      </c>
      <c r="K364">
        <v>1</v>
      </c>
      <c r="L364">
        <v>1</v>
      </c>
      <c r="M364" t="s">
        <v>20</v>
      </c>
      <c r="N364" t="s">
        <v>81</v>
      </c>
    </row>
    <row r="365" spans="1:14" x14ac:dyDescent="0.25">
      <c r="A365" t="s">
        <v>74</v>
      </c>
      <c r="B365" t="s">
        <v>75</v>
      </c>
      <c r="C365" t="s">
        <v>76</v>
      </c>
      <c r="D365" t="s">
        <v>253</v>
      </c>
      <c r="E365" t="s">
        <v>205</v>
      </c>
      <c r="F365">
        <v>34863.79</v>
      </c>
      <c r="G365">
        <v>38322.620000000003</v>
      </c>
      <c r="H365">
        <v>126734.73</v>
      </c>
      <c r="I365">
        <v>35614.33</v>
      </c>
      <c r="J365" t="s">
        <v>41</v>
      </c>
      <c r="K365">
        <v>1</v>
      </c>
      <c r="L365">
        <v>8</v>
      </c>
      <c r="M365" t="s">
        <v>30</v>
      </c>
      <c r="N365" t="s">
        <v>115</v>
      </c>
    </row>
    <row r="366" spans="1:14" x14ac:dyDescent="0.25">
      <c r="A366" t="s">
        <v>78</v>
      </c>
      <c r="B366" t="s">
        <v>79</v>
      </c>
      <c r="C366" t="s">
        <v>116</v>
      </c>
      <c r="D366" t="s">
        <v>249</v>
      </c>
      <c r="E366" t="s">
        <v>205</v>
      </c>
      <c r="F366">
        <v>15639.76</v>
      </c>
      <c r="G366">
        <v>17971.23</v>
      </c>
      <c r="H366">
        <v>41864.660000000003</v>
      </c>
      <c r="I366">
        <v>10250</v>
      </c>
      <c r="J366" t="s">
        <v>19</v>
      </c>
      <c r="K366">
        <v>8</v>
      </c>
      <c r="L366">
        <v>13</v>
      </c>
      <c r="M366" t="s">
        <v>58</v>
      </c>
      <c r="N366" t="s">
        <v>43</v>
      </c>
    </row>
    <row r="367" spans="1:14" x14ac:dyDescent="0.25">
      <c r="A367" t="s">
        <v>82</v>
      </c>
      <c r="B367" t="s">
        <v>83</v>
      </c>
      <c r="C367" t="s">
        <v>116</v>
      </c>
      <c r="D367" t="s">
        <v>248</v>
      </c>
      <c r="E367" t="s">
        <v>205</v>
      </c>
      <c r="F367">
        <v>29342.39</v>
      </c>
      <c r="G367">
        <v>14671.1</v>
      </c>
      <c r="H367">
        <v>117627.31</v>
      </c>
      <c r="I367">
        <v>23094.82</v>
      </c>
      <c r="J367" t="s">
        <v>77</v>
      </c>
      <c r="K367">
        <v>7</v>
      </c>
      <c r="L367">
        <v>12</v>
      </c>
      <c r="M367" t="s">
        <v>20</v>
      </c>
      <c r="N367" t="s">
        <v>125</v>
      </c>
    </row>
    <row r="368" spans="1:14" x14ac:dyDescent="0.25">
      <c r="A368" t="s">
        <v>84</v>
      </c>
      <c r="B368" t="s">
        <v>85</v>
      </c>
      <c r="C368" t="s">
        <v>89</v>
      </c>
      <c r="D368" t="s">
        <v>249</v>
      </c>
      <c r="E368" t="s">
        <v>205</v>
      </c>
      <c r="F368">
        <v>19502.46</v>
      </c>
      <c r="G368">
        <v>15021.17</v>
      </c>
      <c r="H368">
        <v>96209.14</v>
      </c>
      <c r="I368">
        <v>27909.68</v>
      </c>
      <c r="J368" t="s">
        <v>41</v>
      </c>
      <c r="K368">
        <v>4</v>
      </c>
      <c r="L368">
        <v>7</v>
      </c>
      <c r="M368" t="s">
        <v>64</v>
      </c>
      <c r="N368" t="s">
        <v>73</v>
      </c>
    </row>
    <row r="369" spans="1:14" x14ac:dyDescent="0.25">
      <c r="A369" t="s">
        <v>87</v>
      </c>
      <c r="B369" t="s">
        <v>88</v>
      </c>
      <c r="C369" t="s">
        <v>116</v>
      </c>
      <c r="D369" t="s">
        <v>250</v>
      </c>
      <c r="E369" t="s">
        <v>205</v>
      </c>
      <c r="F369">
        <v>22123.49</v>
      </c>
      <c r="G369">
        <v>19861.16</v>
      </c>
      <c r="H369" t="s">
        <v>254</v>
      </c>
      <c r="I369">
        <v>22928.25</v>
      </c>
      <c r="J369" t="s">
        <v>41</v>
      </c>
      <c r="K369">
        <v>10</v>
      </c>
      <c r="L369">
        <v>2</v>
      </c>
      <c r="M369" t="s">
        <v>30</v>
      </c>
      <c r="N369" t="s">
        <v>125</v>
      </c>
    </row>
    <row r="370" spans="1:14" x14ac:dyDescent="0.25">
      <c r="A370" t="s">
        <v>90</v>
      </c>
      <c r="B370" t="s">
        <v>91</v>
      </c>
      <c r="C370" t="s">
        <v>86</v>
      </c>
      <c r="D370" t="s">
        <v>249</v>
      </c>
      <c r="E370" t="s">
        <v>205</v>
      </c>
      <c r="F370">
        <v>9221.99</v>
      </c>
      <c r="G370">
        <v>8835.82</v>
      </c>
      <c r="H370">
        <v>29917.22</v>
      </c>
      <c r="I370">
        <v>7699.19</v>
      </c>
      <c r="J370" t="s">
        <v>25</v>
      </c>
      <c r="K370">
        <v>12</v>
      </c>
      <c r="L370">
        <v>13</v>
      </c>
      <c r="M370" t="s">
        <v>42</v>
      </c>
    </row>
    <row r="371" spans="1:14" x14ac:dyDescent="0.25">
      <c r="A371" t="s">
        <v>96</v>
      </c>
      <c r="B371" t="s">
        <v>97</v>
      </c>
      <c r="C371" t="s">
        <v>80</v>
      </c>
      <c r="D371" t="s">
        <v>252</v>
      </c>
      <c r="E371" t="s">
        <v>205</v>
      </c>
      <c r="F371">
        <v>8359.2199999999993</v>
      </c>
      <c r="G371">
        <v>9010.41</v>
      </c>
      <c r="H371">
        <v>35355.47</v>
      </c>
      <c r="I371">
        <v>12168.88</v>
      </c>
      <c r="J371" t="s">
        <v>41</v>
      </c>
      <c r="K371">
        <v>11</v>
      </c>
      <c r="L371">
        <v>9</v>
      </c>
      <c r="M371" t="s">
        <v>42</v>
      </c>
      <c r="N371" t="s">
        <v>113</v>
      </c>
    </row>
    <row r="372" spans="1:14" x14ac:dyDescent="0.25">
      <c r="A372" t="s">
        <v>14</v>
      </c>
      <c r="B372" t="s">
        <v>15</v>
      </c>
      <c r="C372" t="s">
        <v>29</v>
      </c>
      <c r="D372" t="s">
        <v>255</v>
      </c>
      <c r="E372" t="s">
        <v>205</v>
      </c>
      <c r="F372">
        <v>194235.55</v>
      </c>
      <c r="G372">
        <v>200327.79</v>
      </c>
      <c r="H372" t="s">
        <v>256</v>
      </c>
      <c r="I372">
        <v>262027.59</v>
      </c>
      <c r="J372" t="s">
        <v>41</v>
      </c>
      <c r="K372">
        <v>6</v>
      </c>
      <c r="L372">
        <v>4</v>
      </c>
      <c r="M372" t="s">
        <v>54</v>
      </c>
      <c r="N372" t="s">
        <v>110</v>
      </c>
    </row>
    <row r="373" spans="1:14" x14ac:dyDescent="0.25">
      <c r="A373" t="s">
        <v>21</v>
      </c>
      <c r="B373" t="s">
        <v>22</v>
      </c>
      <c r="C373" t="s">
        <v>46</v>
      </c>
      <c r="D373" t="s">
        <v>257</v>
      </c>
      <c r="E373" t="s">
        <v>205</v>
      </c>
      <c r="F373">
        <v>108261.99</v>
      </c>
      <c r="G373">
        <v>179619.75</v>
      </c>
      <c r="H373">
        <v>19062.990000000002</v>
      </c>
      <c r="I373">
        <v>5742.26</v>
      </c>
      <c r="J373" t="s">
        <v>53</v>
      </c>
      <c r="K373">
        <v>4</v>
      </c>
      <c r="L373">
        <v>7</v>
      </c>
      <c r="M373" t="s">
        <v>54</v>
      </c>
    </row>
    <row r="374" spans="1:14" x14ac:dyDescent="0.25">
      <c r="A374" t="s">
        <v>27</v>
      </c>
      <c r="B374" t="s">
        <v>28</v>
      </c>
      <c r="C374" t="s">
        <v>34</v>
      </c>
      <c r="D374" t="s">
        <v>258</v>
      </c>
      <c r="E374" t="s">
        <v>205</v>
      </c>
      <c r="F374">
        <v>88498.66</v>
      </c>
      <c r="G374">
        <v>81688.08</v>
      </c>
      <c r="H374">
        <v>343652.6</v>
      </c>
      <c r="I374">
        <v>99731.78</v>
      </c>
      <c r="J374" t="s">
        <v>25</v>
      </c>
      <c r="K374">
        <v>4</v>
      </c>
      <c r="L374">
        <v>6</v>
      </c>
      <c r="M374" t="s">
        <v>54</v>
      </c>
      <c r="N374" t="s">
        <v>105</v>
      </c>
    </row>
    <row r="375" spans="1:14" x14ac:dyDescent="0.25">
      <c r="A375" t="s">
        <v>32</v>
      </c>
      <c r="B375" t="s">
        <v>33</v>
      </c>
      <c r="C375" t="s">
        <v>118</v>
      </c>
      <c r="D375" t="s">
        <v>255</v>
      </c>
      <c r="E375" t="s">
        <v>205</v>
      </c>
      <c r="F375">
        <v>162272.22</v>
      </c>
      <c r="G375">
        <v>167074.79999999999</v>
      </c>
      <c r="H375">
        <v>458889.03</v>
      </c>
      <c r="I375">
        <v>138095.99</v>
      </c>
      <c r="J375" t="s">
        <v>41</v>
      </c>
      <c r="K375">
        <v>4</v>
      </c>
      <c r="L375">
        <v>8</v>
      </c>
      <c r="M375" t="s">
        <v>42</v>
      </c>
      <c r="N375" t="s">
        <v>125</v>
      </c>
    </row>
    <row r="376" spans="1:14" x14ac:dyDescent="0.25">
      <c r="A376" t="s">
        <v>39</v>
      </c>
      <c r="B376" t="s">
        <v>40</v>
      </c>
      <c r="C376" t="s">
        <v>111</v>
      </c>
      <c r="D376" t="s">
        <v>255</v>
      </c>
      <c r="E376" t="s">
        <v>205</v>
      </c>
      <c r="F376">
        <v>94126.52</v>
      </c>
      <c r="G376">
        <v>92861.23</v>
      </c>
      <c r="H376">
        <v>306770.55</v>
      </c>
      <c r="I376">
        <v>57672.37</v>
      </c>
      <c r="J376" t="s">
        <v>104</v>
      </c>
      <c r="K376">
        <v>1</v>
      </c>
      <c r="L376">
        <v>8</v>
      </c>
      <c r="M376" t="s">
        <v>42</v>
      </c>
    </row>
    <row r="377" spans="1:14" x14ac:dyDescent="0.25">
      <c r="A377" t="s">
        <v>44</v>
      </c>
      <c r="B377" t="s">
        <v>45</v>
      </c>
      <c r="C377" t="s">
        <v>34</v>
      </c>
      <c r="D377" t="s">
        <v>255</v>
      </c>
      <c r="E377" t="s">
        <v>216</v>
      </c>
      <c r="F377">
        <v>158677.4</v>
      </c>
      <c r="G377">
        <v>158331.24</v>
      </c>
      <c r="H377">
        <v>708052.61</v>
      </c>
      <c r="I377">
        <v>220144.98</v>
      </c>
      <c r="J377" t="s">
        <v>53</v>
      </c>
      <c r="K377">
        <v>5</v>
      </c>
      <c r="L377">
        <v>6</v>
      </c>
      <c r="M377" t="s">
        <v>58</v>
      </c>
    </row>
    <row r="378" spans="1:14" x14ac:dyDescent="0.25">
      <c r="A378" t="s">
        <v>49</v>
      </c>
      <c r="B378" t="s">
        <v>50</v>
      </c>
      <c r="C378" t="s">
        <v>57</v>
      </c>
      <c r="D378" t="s">
        <v>259</v>
      </c>
      <c r="E378" t="s">
        <v>205</v>
      </c>
      <c r="F378">
        <v>60618.26</v>
      </c>
      <c r="G378">
        <v>104005.95</v>
      </c>
      <c r="H378">
        <v>247008.21</v>
      </c>
      <c r="I378">
        <v>82715.039999999994</v>
      </c>
      <c r="J378" t="s">
        <v>41</v>
      </c>
      <c r="K378">
        <v>2</v>
      </c>
      <c r="L378">
        <v>3</v>
      </c>
      <c r="M378" t="s">
        <v>20</v>
      </c>
      <c r="N378" t="s">
        <v>110</v>
      </c>
    </row>
    <row r="379" spans="1:14" x14ac:dyDescent="0.25">
      <c r="A379" t="s">
        <v>55</v>
      </c>
      <c r="B379" t="s">
        <v>56</v>
      </c>
      <c r="C379" t="s">
        <v>114</v>
      </c>
      <c r="D379" t="s">
        <v>260</v>
      </c>
      <c r="E379" t="s">
        <v>205</v>
      </c>
      <c r="F379">
        <v>76153.16</v>
      </c>
      <c r="G379">
        <v>64880.68</v>
      </c>
      <c r="H379">
        <v>255364.4</v>
      </c>
      <c r="I379">
        <v>49665.760000000002</v>
      </c>
      <c r="J379" t="s">
        <v>25</v>
      </c>
      <c r="K379">
        <v>3</v>
      </c>
      <c r="L379">
        <v>8</v>
      </c>
      <c r="M379" t="s">
        <v>20</v>
      </c>
      <c r="N379" t="s">
        <v>65</v>
      </c>
    </row>
    <row r="380" spans="1:14" x14ac:dyDescent="0.25">
      <c r="A380" t="s">
        <v>59</v>
      </c>
      <c r="B380" t="s">
        <v>60</v>
      </c>
      <c r="C380" t="s">
        <v>70</v>
      </c>
      <c r="D380" t="s">
        <v>261</v>
      </c>
      <c r="E380" t="s">
        <v>205</v>
      </c>
      <c r="F380">
        <v>119186.22</v>
      </c>
      <c r="G380">
        <v>67309.03</v>
      </c>
      <c r="H380">
        <v>25178.02</v>
      </c>
      <c r="I380">
        <v>8571.08</v>
      </c>
      <c r="J380" t="s">
        <v>104</v>
      </c>
      <c r="K380">
        <v>1</v>
      </c>
      <c r="L380">
        <v>8</v>
      </c>
      <c r="M380" t="s">
        <v>20</v>
      </c>
    </row>
    <row r="381" spans="1:14" x14ac:dyDescent="0.25">
      <c r="A381" t="s">
        <v>62</v>
      </c>
      <c r="B381" t="s">
        <v>63</v>
      </c>
      <c r="C381" t="s">
        <v>70</v>
      </c>
      <c r="D381" t="s">
        <v>261</v>
      </c>
      <c r="E381" t="s">
        <v>205</v>
      </c>
      <c r="F381">
        <v>55158.32</v>
      </c>
      <c r="G381">
        <v>61542.06</v>
      </c>
      <c r="H381">
        <v>237394.65</v>
      </c>
      <c r="I381">
        <v>56620.23</v>
      </c>
      <c r="J381" t="s">
        <v>19</v>
      </c>
      <c r="K381">
        <v>3</v>
      </c>
      <c r="L381">
        <v>5</v>
      </c>
      <c r="M381" t="s">
        <v>64</v>
      </c>
      <c r="N381" t="s">
        <v>95</v>
      </c>
    </row>
    <row r="382" spans="1:14" x14ac:dyDescent="0.25">
      <c r="A382" t="s">
        <v>66</v>
      </c>
      <c r="B382" t="s">
        <v>67</v>
      </c>
      <c r="C382" t="s">
        <v>57</v>
      </c>
      <c r="D382" t="s">
        <v>257</v>
      </c>
      <c r="E382" t="s">
        <v>205</v>
      </c>
      <c r="F382">
        <v>76893.789999999994</v>
      </c>
      <c r="G382">
        <v>74690.91</v>
      </c>
      <c r="H382">
        <v>361588.16</v>
      </c>
      <c r="I382">
        <v>98121.9</v>
      </c>
      <c r="J382" t="s">
        <v>104</v>
      </c>
      <c r="K382">
        <v>4</v>
      </c>
      <c r="L382">
        <v>4</v>
      </c>
      <c r="M382" t="s">
        <v>58</v>
      </c>
      <c r="N382" t="s">
        <v>113</v>
      </c>
    </row>
    <row r="383" spans="1:14" x14ac:dyDescent="0.25">
      <c r="A383" t="s">
        <v>68</v>
      </c>
      <c r="B383" t="s">
        <v>69</v>
      </c>
      <c r="C383" t="s">
        <v>76</v>
      </c>
      <c r="D383" t="s">
        <v>258</v>
      </c>
      <c r="E383" t="s">
        <v>205</v>
      </c>
      <c r="F383">
        <v>62395.96</v>
      </c>
      <c r="G383">
        <v>57878.93</v>
      </c>
      <c r="H383">
        <v>269318</v>
      </c>
      <c r="I383">
        <v>53533.72</v>
      </c>
      <c r="J383" t="s">
        <v>104</v>
      </c>
      <c r="K383">
        <v>1</v>
      </c>
      <c r="L383">
        <v>5</v>
      </c>
      <c r="M383" t="s">
        <v>99</v>
      </c>
      <c r="N383" t="s">
        <v>110</v>
      </c>
    </row>
    <row r="384" spans="1:14" x14ac:dyDescent="0.25">
      <c r="A384" t="s">
        <v>74</v>
      </c>
      <c r="B384" t="s">
        <v>75</v>
      </c>
      <c r="C384" t="s">
        <v>76</v>
      </c>
      <c r="D384" t="s">
        <v>261</v>
      </c>
      <c r="E384" t="s">
        <v>205</v>
      </c>
      <c r="F384">
        <v>44165.84</v>
      </c>
      <c r="G384">
        <v>47422.07</v>
      </c>
      <c r="H384">
        <v>149096.93</v>
      </c>
      <c r="I384">
        <v>46729.09</v>
      </c>
      <c r="J384" t="s">
        <v>36</v>
      </c>
      <c r="K384">
        <v>6</v>
      </c>
      <c r="L384">
        <v>4</v>
      </c>
      <c r="M384" t="s">
        <v>58</v>
      </c>
      <c r="N384" t="s">
        <v>110</v>
      </c>
    </row>
    <row r="385" spans="1:14" x14ac:dyDescent="0.25">
      <c r="A385" t="s">
        <v>78</v>
      </c>
      <c r="B385" t="s">
        <v>79</v>
      </c>
      <c r="C385" t="s">
        <v>89</v>
      </c>
      <c r="D385" t="s">
        <v>261</v>
      </c>
      <c r="E385" t="s">
        <v>205</v>
      </c>
      <c r="F385">
        <v>27214.29</v>
      </c>
      <c r="G385">
        <v>31683.39</v>
      </c>
      <c r="H385">
        <v>74311.929999999993</v>
      </c>
      <c r="I385">
        <v>15019.24</v>
      </c>
      <c r="J385" t="s">
        <v>25</v>
      </c>
      <c r="K385">
        <v>5</v>
      </c>
      <c r="L385">
        <v>3</v>
      </c>
      <c r="M385" t="s">
        <v>42</v>
      </c>
      <c r="N385" t="s">
        <v>110</v>
      </c>
    </row>
    <row r="386" spans="1:14" x14ac:dyDescent="0.25">
      <c r="A386" t="s">
        <v>82</v>
      </c>
      <c r="B386" t="s">
        <v>83</v>
      </c>
      <c r="C386" t="s">
        <v>89</v>
      </c>
      <c r="D386" t="s">
        <v>260</v>
      </c>
      <c r="E386" t="s">
        <v>205</v>
      </c>
      <c r="F386" t="s">
        <v>262</v>
      </c>
      <c r="G386">
        <v>22545.35</v>
      </c>
      <c r="H386">
        <v>126995.8</v>
      </c>
      <c r="I386">
        <v>25652.58</v>
      </c>
      <c r="J386" t="s">
        <v>104</v>
      </c>
      <c r="K386">
        <v>10</v>
      </c>
      <c r="L386">
        <v>10</v>
      </c>
      <c r="M386" t="s">
        <v>30</v>
      </c>
    </row>
    <row r="387" spans="1:14" x14ac:dyDescent="0.25">
      <c r="A387" t="s">
        <v>84</v>
      </c>
      <c r="B387" t="s">
        <v>85</v>
      </c>
      <c r="C387" t="s">
        <v>137</v>
      </c>
      <c r="D387" t="s">
        <v>255</v>
      </c>
      <c r="E387" t="s">
        <v>205</v>
      </c>
      <c r="F387">
        <v>10979.08</v>
      </c>
      <c r="G387">
        <v>10263.16</v>
      </c>
      <c r="H387">
        <v>28553.34</v>
      </c>
      <c r="I387">
        <v>6942.73</v>
      </c>
      <c r="J387" t="s">
        <v>41</v>
      </c>
      <c r="K387">
        <v>7</v>
      </c>
      <c r="L387">
        <v>6</v>
      </c>
      <c r="M387" t="s">
        <v>20</v>
      </c>
      <c r="N387" t="s">
        <v>125</v>
      </c>
    </row>
    <row r="388" spans="1:14" x14ac:dyDescent="0.25">
      <c r="A388" t="s">
        <v>87</v>
      </c>
      <c r="B388" t="s">
        <v>88</v>
      </c>
      <c r="C388" t="s">
        <v>116</v>
      </c>
      <c r="D388" t="s">
        <v>259</v>
      </c>
      <c r="E388" t="s">
        <v>212</v>
      </c>
      <c r="F388">
        <v>21197.43</v>
      </c>
      <c r="G388">
        <v>17194.59</v>
      </c>
      <c r="H388">
        <v>3099.81</v>
      </c>
      <c r="I388">
        <v>721.17</v>
      </c>
      <c r="J388" t="s">
        <v>19</v>
      </c>
      <c r="K388">
        <v>9</v>
      </c>
      <c r="L388">
        <v>7</v>
      </c>
      <c r="M388" t="s">
        <v>177</v>
      </c>
      <c r="N388" t="s">
        <v>110</v>
      </c>
    </row>
    <row r="389" spans="1:14" x14ac:dyDescent="0.25">
      <c r="A389" t="s">
        <v>90</v>
      </c>
      <c r="B389" t="s">
        <v>91</v>
      </c>
      <c r="C389" t="s">
        <v>89</v>
      </c>
      <c r="D389" t="s">
        <v>259</v>
      </c>
      <c r="E389" t="s">
        <v>205</v>
      </c>
      <c r="F389">
        <v>27652.33</v>
      </c>
      <c r="G389">
        <v>21974.13</v>
      </c>
      <c r="H389">
        <v>115068.43</v>
      </c>
      <c r="I389">
        <v>25266.7</v>
      </c>
      <c r="J389" t="s">
        <v>19</v>
      </c>
      <c r="K389">
        <v>8</v>
      </c>
      <c r="L389">
        <v>11</v>
      </c>
      <c r="M389" t="s">
        <v>30</v>
      </c>
      <c r="N389" t="s">
        <v>73</v>
      </c>
    </row>
    <row r="390" spans="1:14" x14ac:dyDescent="0.25">
      <c r="A390" t="s">
        <v>93</v>
      </c>
      <c r="B390" t="s">
        <v>94</v>
      </c>
      <c r="C390" t="s">
        <v>137</v>
      </c>
      <c r="D390" t="s">
        <v>255</v>
      </c>
      <c r="E390" t="s">
        <v>214</v>
      </c>
      <c r="F390">
        <v>14962.99</v>
      </c>
      <c r="G390">
        <v>8284.6299999999992</v>
      </c>
      <c r="H390">
        <v>65747.929999999993</v>
      </c>
      <c r="I390">
        <v>17666.349999999999</v>
      </c>
      <c r="J390" t="s">
        <v>25</v>
      </c>
      <c r="K390">
        <v>9</v>
      </c>
      <c r="L390">
        <v>11</v>
      </c>
      <c r="M390" t="s">
        <v>30</v>
      </c>
      <c r="N390" t="s">
        <v>26</v>
      </c>
    </row>
    <row r="391" spans="1:14" x14ac:dyDescent="0.25">
      <c r="A391" t="s">
        <v>96</v>
      </c>
      <c r="B391" t="s">
        <v>97</v>
      </c>
      <c r="C391" t="s">
        <v>86</v>
      </c>
      <c r="D391" t="s">
        <v>261</v>
      </c>
      <c r="E391" t="s">
        <v>205</v>
      </c>
      <c r="F391">
        <v>24385.08</v>
      </c>
      <c r="G391">
        <v>23187.75</v>
      </c>
      <c r="H391">
        <v>90924.22</v>
      </c>
      <c r="I391">
        <v>21621.11</v>
      </c>
      <c r="J391" t="s">
        <v>36</v>
      </c>
      <c r="K391">
        <v>4</v>
      </c>
      <c r="L391">
        <v>2</v>
      </c>
      <c r="M391" t="s">
        <v>54</v>
      </c>
      <c r="N391" t="s">
        <v>26</v>
      </c>
    </row>
    <row r="392" spans="1:14" x14ac:dyDescent="0.25">
      <c r="A392" t="s">
        <v>14</v>
      </c>
      <c r="B392" t="s">
        <v>15</v>
      </c>
      <c r="C392" t="s">
        <v>111</v>
      </c>
      <c r="D392" t="s">
        <v>263</v>
      </c>
      <c r="E392" t="s">
        <v>205</v>
      </c>
      <c r="F392">
        <v>213303.06</v>
      </c>
      <c r="G392">
        <v>219398.7</v>
      </c>
      <c r="H392">
        <v>860931.38</v>
      </c>
      <c r="I392">
        <v>158944.38</v>
      </c>
      <c r="J392" t="s">
        <v>41</v>
      </c>
      <c r="K392">
        <v>1</v>
      </c>
      <c r="L392">
        <v>1</v>
      </c>
      <c r="M392" t="s">
        <v>30</v>
      </c>
      <c r="N392" t="s">
        <v>105</v>
      </c>
    </row>
    <row r="393" spans="1:14" x14ac:dyDescent="0.25">
      <c r="A393" t="s">
        <v>21</v>
      </c>
      <c r="B393" t="s">
        <v>22</v>
      </c>
      <c r="C393" t="s">
        <v>34</v>
      </c>
      <c r="D393" t="s">
        <v>264</v>
      </c>
      <c r="E393" t="s">
        <v>205</v>
      </c>
      <c r="F393">
        <v>117443.22</v>
      </c>
      <c r="G393">
        <v>203812.11</v>
      </c>
      <c r="H393">
        <v>372673.05</v>
      </c>
      <c r="I393">
        <v>102123.81</v>
      </c>
      <c r="J393" t="s">
        <v>77</v>
      </c>
      <c r="K393">
        <v>1</v>
      </c>
      <c r="L393">
        <v>2</v>
      </c>
      <c r="M393" t="s">
        <v>20</v>
      </c>
      <c r="N393" t="s">
        <v>43</v>
      </c>
    </row>
    <row r="394" spans="1:14" x14ac:dyDescent="0.25">
      <c r="A394" t="s">
        <v>27</v>
      </c>
      <c r="B394" t="s">
        <v>28</v>
      </c>
      <c r="C394" t="s">
        <v>118</v>
      </c>
      <c r="D394" t="s">
        <v>265</v>
      </c>
      <c r="E394" t="s">
        <v>205</v>
      </c>
      <c r="F394">
        <v>136944.43</v>
      </c>
      <c r="G394">
        <v>127827.4</v>
      </c>
      <c r="H394">
        <v>610389.25</v>
      </c>
      <c r="I394">
        <v>165949.43</v>
      </c>
      <c r="J394" t="s">
        <v>41</v>
      </c>
      <c r="K394">
        <v>2</v>
      </c>
      <c r="L394">
        <v>4</v>
      </c>
      <c r="M394" t="s">
        <v>54</v>
      </c>
      <c r="N394" t="s">
        <v>113</v>
      </c>
    </row>
    <row r="395" spans="1:14" x14ac:dyDescent="0.25">
      <c r="A395" t="s">
        <v>32</v>
      </c>
      <c r="B395" t="s">
        <v>33</v>
      </c>
      <c r="C395" t="s">
        <v>111</v>
      </c>
      <c r="D395" t="s">
        <v>263</v>
      </c>
      <c r="E395" t="s">
        <v>205</v>
      </c>
      <c r="F395">
        <v>209053.5</v>
      </c>
      <c r="G395">
        <v>201470.81</v>
      </c>
      <c r="H395">
        <v>961378.36</v>
      </c>
      <c r="I395">
        <v>230481.86</v>
      </c>
      <c r="J395" t="s">
        <v>53</v>
      </c>
      <c r="K395">
        <v>6</v>
      </c>
      <c r="L395">
        <v>5</v>
      </c>
      <c r="M395" t="s">
        <v>54</v>
      </c>
      <c r="N395" t="s">
        <v>43</v>
      </c>
    </row>
    <row r="396" spans="1:14" x14ac:dyDescent="0.25">
      <c r="A396" t="s">
        <v>39</v>
      </c>
      <c r="B396" t="s">
        <v>40</v>
      </c>
      <c r="C396" t="s">
        <v>111</v>
      </c>
      <c r="D396" t="s">
        <v>265</v>
      </c>
      <c r="E396" t="s">
        <v>205</v>
      </c>
      <c r="F396">
        <v>219834.98</v>
      </c>
      <c r="G396">
        <v>233140.42</v>
      </c>
      <c r="H396">
        <v>885080.51</v>
      </c>
      <c r="I396">
        <v>207207.67999999999</v>
      </c>
      <c r="J396" t="s">
        <v>36</v>
      </c>
      <c r="K396">
        <v>6</v>
      </c>
      <c r="L396">
        <v>4</v>
      </c>
      <c r="M396" t="s">
        <v>37</v>
      </c>
      <c r="N396" t="s">
        <v>113</v>
      </c>
    </row>
    <row r="397" spans="1:14" x14ac:dyDescent="0.25">
      <c r="A397" t="s">
        <v>44</v>
      </c>
      <c r="B397" t="s">
        <v>45</v>
      </c>
      <c r="C397" t="s">
        <v>46</v>
      </c>
      <c r="D397" t="s">
        <v>263</v>
      </c>
      <c r="E397" t="s">
        <v>205</v>
      </c>
      <c r="F397">
        <v>98721.600000000006</v>
      </c>
      <c r="G397">
        <v>105391.36</v>
      </c>
      <c r="H397">
        <v>8362.43</v>
      </c>
      <c r="I397">
        <v>2295.36</v>
      </c>
      <c r="J397" t="s">
        <v>104</v>
      </c>
      <c r="K397">
        <v>6</v>
      </c>
      <c r="L397">
        <v>8</v>
      </c>
      <c r="M397" t="s">
        <v>20</v>
      </c>
      <c r="N397" t="s">
        <v>95</v>
      </c>
    </row>
    <row r="398" spans="1:14" x14ac:dyDescent="0.25">
      <c r="A398" t="s">
        <v>49</v>
      </c>
      <c r="B398" t="s">
        <v>50</v>
      </c>
      <c r="C398" t="s">
        <v>114</v>
      </c>
      <c r="D398" t="s">
        <v>266</v>
      </c>
      <c r="E398" t="s">
        <v>205</v>
      </c>
      <c r="F398">
        <v>40032.43</v>
      </c>
      <c r="G398">
        <v>69717.77</v>
      </c>
      <c r="H398">
        <v>112567.58</v>
      </c>
      <c r="I398">
        <v>23955.33</v>
      </c>
      <c r="J398" t="s">
        <v>25</v>
      </c>
      <c r="K398">
        <v>1</v>
      </c>
      <c r="L398">
        <v>1</v>
      </c>
      <c r="M398" t="s">
        <v>30</v>
      </c>
      <c r="N398" t="s">
        <v>95</v>
      </c>
    </row>
    <row r="399" spans="1:14" x14ac:dyDescent="0.25">
      <c r="A399" t="s">
        <v>59</v>
      </c>
      <c r="B399" t="s">
        <v>60</v>
      </c>
      <c r="C399" t="s">
        <v>76</v>
      </c>
      <c r="D399" t="s">
        <v>263</v>
      </c>
      <c r="E399" t="s">
        <v>205</v>
      </c>
      <c r="F399">
        <v>93967.27</v>
      </c>
      <c r="G399">
        <v>56201.64</v>
      </c>
      <c r="H399">
        <v>260981.53</v>
      </c>
      <c r="I399">
        <v>69174.55</v>
      </c>
      <c r="J399" t="s">
        <v>41</v>
      </c>
      <c r="K399">
        <v>2</v>
      </c>
      <c r="L399">
        <v>7</v>
      </c>
      <c r="M399" t="s">
        <v>54</v>
      </c>
    </row>
    <row r="400" spans="1:14" x14ac:dyDescent="0.25">
      <c r="A400" t="s">
        <v>62</v>
      </c>
      <c r="B400" t="s">
        <v>63</v>
      </c>
      <c r="C400" t="s">
        <v>51</v>
      </c>
      <c r="D400" t="s">
        <v>267</v>
      </c>
      <c r="E400" t="s">
        <v>205</v>
      </c>
      <c r="F400">
        <v>46459.68</v>
      </c>
      <c r="G400">
        <v>51305.43</v>
      </c>
      <c r="H400">
        <v>231363.55</v>
      </c>
      <c r="I400">
        <v>62606.99</v>
      </c>
      <c r="J400" t="s">
        <v>25</v>
      </c>
      <c r="K400">
        <v>3</v>
      </c>
      <c r="L400">
        <v>1</v>
      </c>
      <c r="M400" t="s">
        <v>20</v>
      </c>
      <c r="N400" t="s">
        <v>31</v>
      </c>
    </row>
    <row r="401" spans="1:14" x14ac:dyDescent="0.25">
      <c r="A401" t="s">
        <v>68</v>
      </c>
      <c r="B401" t="s">
        <v>69</v>
      </c>
      <c r="C401" t="s">
        <v>51</v>
      </c>
      <c r="D401" t="s">
        <v>267</v>
      </c>
      <c r="E401" t="s">
        <v>205</v>
      </c>
      <c r="F401">
        <v>59734.48</v>
      </c>
      <c r="G401">
        <v>60043.73</v>
      </c>
      <c r="H401" t="s">
        <v>268</v>
      </c>
      <c r="I401">
        <v>63929.56</v>
      </c>
      <c r="J401" t="s">
        <v>19</v>
      </c>
      <c r="K401">
        <v>4</v>
      </c>
      <c r="L401">
        <v>1</v>
      </c>
      <c r="M401" t="s">
        <v>42</v>
      </c>
      <c r="N401" t="s">
        <v>65</v>
      </c>
    </row>
    <row r="402" spans="1:14" x14ac:dyDescent="0.25">
      <c r="A402" t="s">
        <v>74</v>
      </c>
      <c r="B402" t="s">
        <v>75</v>
      </c>
      <c r="C402" t="s">
        <v>57</v>
      </c>
      <c r="D402" t="s">
        <v>266</v>
      </c>
      <c r="E402" t="s">
        <v>215</v>
      </c>
      <c r="F402">
        <v>85019.71</v>
      </c>
      <c r="G402">
        <v>77288.28</v>
      </c>
      <c r="H402">
        <v>278610.84999999998</v>
      </c>
      <c r="I402">
        <v>54731.27</v>
      </c>
      <c r="J402" t="s">
        <v>36</v>
      </c>
      <c r="K402">
        <v>4</v>
      </c>
      <c r="L402">
        <v>6</v>
      </c>
      <c r="M402" t="s">
        <v>30</v>
      </c>
    </row>
    <row r="403" spans="1:14" x14ac:dyDescent="0.25">
      <c r="A403" t="s">
        <v>78</v>
      </c>
      <c r="B403" t="s">
        <v>79</v>
      </c>
      <c r="C403" t="s">
        <v>137</v>
      </c>
      <c r="D403" t="s">
        <v>267</v>
      </c>
      <c r="E403" t="s">
        <v>205</v>
      </c>
      <c r="F403">
        <v>33475.78</v>
      </c>
      <c r="G403">
        <v>38091.25</v>
      </c>
      <c r="H403">
        <v>120389.75999999999</v>
      </c>
      <c r="I403">
        <v>30807.439999999999</v>
      </c>
      <c r="J403" t="s">
        <v>25</v>
      </c>
      <c r="K403">
        <v>3</v>
      </c>
      <c r="L403">
        <v>11</v>
      </c>
      <c r="M403" t="s">
        <v>30</v>
      </c>
      <c r="N403" t="s">
        <v>115</v>
      </c>
    </row>
    <row r="404" spans="1:14" x14ac:dyDescent="0.25">
      <c r="A404" t="s">
        <v>82</v>
      </c>
      <c r="B404" t="s">
        <v>83</v>
      </c>
      <c r="C404" t="s">
        <v>89</v>
      </c>
      <c r="D404" t="s">
        <v>263</v>
      </c>
      <c r="E404" t="s">
        <v>205</v>
      </c>
      <c r="F404">
        <v>34066.71</v>
      </c>
      <c r="G404">
        <v>18000.38</v>
      </c>
      <c r="H404">
        <v>157552.51999999999</v>
      </c>
      <c r="I404">
        <v>44893.22</v>
      </c>
      <c r="J404" t="s">
        <v>19</v>
      </c>
      <c r="K404">
        <v>8</v>
      </c>
      <c r="L404">
        <v>6</v>
      </c>
      <c r="M404" t="s">
        <v>54</v>
      </c>
      <c r="N404" t="s">
        <v>113</v>
      </c>
    </row>
    <row r="405" spans="1:14" x14ac:dyDescent="0.25">
      <c r="A405" t="s">
        <v>84</v>
      </c>
      <c r="B405" t="s">
        <v>85</v>
      </c>
      <c r="C405" t="s">
        <v>89</v>
      </c>
      <c r="D405" t="s">
        <v>269</v>
      </c>
      <c r="E405" t="s">
        <v>205</v>
      </c>
      <c r="F405">
        <v>16861.23</v>
      </c>
      <c r="G405">
        <v>14268.66</v>
      </c>
      <c r="H405">
        <v>42671.07</v>
      </c>
      <c r="I405">
        <v>11981.64</v>
      </c>
      <c r="J405" t="s">
        <v>104</v>
      </c>
      <c r="K405">
        <v>5</v>
      </c>
      <c r="L405">
        <v>3</v>
      </c>
      <c r="M405" t="s">
        <v>92</v>
      </c>
      <c r="N405" t="s">
        <v>115</v>
      </c>
    </row>
    <row r="406" spans="1:14" x14ac:dyDescent="0.25">
      <c r="A406" t="s">
        <v>90</v>
      </c>
      <c r="B406" t="s">
        <v>91</v>
      </c>
      <c r="C406" t="s">
        <v>86</v>
      </c>
      <c r="D406" t="s">
        <v>269</v>
      </c>
      <c r="E406" t="s">
        <v>205</v>
      </c>
      <c r="F406" t="s">
        <v>270</v>
      </c>
      <c r="G406">
        <v>23512.11</v>
      </c>
      <c r="H406">
        <v>71638.06</v>
      </c>
      <c r="I406">
        <v>22339.200000000001</v>
      </c>
      <c r="J406" t="s">
        <v>53</v>
      </c>
      <c r="K406">
        <v>4</v>
      </c>
      <c r="L406">
        <v>7</v>
      </c>
      <c r="M406" t="s">
        <v>54</v>
      </c>
    </row>
    <row r="407" spans="1:14" x14ac:dyDescent="0.25">
      <c r="A407" t="s">
        <v>93</v>
      </c>
      <c r="B407" t="s">
        <v>94</v>
      </c>
      <c r="C407" t="s">
        <v>80</v>
      </c>
      <c r="D407" t="s">
        <v>266</v>
      </c>
      <c r="E407" t="s">
        <v>205</v>
      </c>
      <c r="F407">
        <v>25602.98</v>
      </c>
      <c r="G407">
        <v>14897.9</v>
      </c>
      <c r="H407">
        <v>68385.8</v>
      </c>
      <c r="I407">
        <v>17840.03</v>
      </c>
      <c r="J407" t="s">
        <v>104</v>
      </c>
      <c r="K407">
        <v>9</v>
      </c>
      <c r="L407">
        <v>14</v>
      </c>
      <c r="M407" t="s">
        <v>42</v>
      </c>
    </row>
    <row r="408" spans="1:14" x14ac:dyDescent="0.25">
      <c r="A408" t="s">
        <v>96</v>
      </c>
      <c r="B408" t="s">
        <v>97</v>
      </c>
      <c r="C408" t="s">
        <v>126</v>
      </c>
      <c r="D408" t="s">
        <v>267</v>
      </c>
      <c r="E408" t="s">
        <v>205</v>
      </c>
      <c r="F408">
        <v>8099.82</v>
      </c>
      <c r="G408">
        <v>6978.1</v>
      </c>
      <c r="H408">
        <v>29696.71</v>
      </c>
      <c r="I408">
        <v>7772.43</v>
      </c>
      <c r="J408" t="s">
        <v>104</v>
      </c>
      <c r="K408">
        <v>7</v>
      </c>
      <c r="L408">
        <v>5</v>
      </c>
      <c r="M408" t="s">
        <v>20</v>
      </c>
      <c r="N408" t="s">
        <v>43</v>
      </c>
    </row>
    <row r="409" spans="1:14" x14ac:dyDescent="0.25">
      <c r="A409" t="s">
        <v>14</v>
      </c>
      <c r="B409" t="s">
        <v>15</v>
      </c>
      <c r="C409" t="s">
        <v>46</v>
      </c>
      <c r="D409" t="s">
        <v>271</v>
      </c>
      <c r="E409" t="s">
        <v>205</v>
      </c>
      <c r="F409" t="s">
        <v>272</v>
      </c>
      <c r="G409">
        <v>108686.39999999999</v>
      </c>
      <c r="H409">
        <v>96602</v>
      </c>
      <c r="I409">
        <v>2012.8</v>
      </c>
      <c r="J409" t="s">
        <v>19</v>
      </c>
      <c r="K409">
        <v>3</v>
      </c>
      <c r="L409">
        <v>6</v>
      </c>
      <c r="M409" t="s">
        <v>42</v>
      </c>
      <c r="N409" t="s">
        <v>127</v>
      </c>
    </row>
    <row r="410" spans="1:14" x14ac:dyDescent="0.25">
      <c r="A410" t="s">
        <v>21</v>
      </c>
      <c r="B410" t="s">
        <v>22</v>
      </c>
      <c r="C410" t="s">
        <v>16</v>
      </c>
      <c r="D410" t="s">
        <v>273</v>
      </c>
      <c r="E410" t="s">
        <v>215</v>
      </c>
      <c r="F410">
        <v>83501.490000000005</v>
      </c>
      <c r="G410">
        <v>137432</v>
      </c>
      <c r="H410">
        <v>405224.74</v>
      </c>
      <c r="I410">
        <v>141669.87</v>
      </c>
      <c r="J410" t="s">
        <v>77</v>
      </c>
      <c r="K410">
        <v>4</v>
      </c>
      <c r="L410">
        <v>3</v>
      </c>
      <c r="M410" t="s">
        <v>30</v>
      </c>
      <c r="N410" t="s">
        <v>65</v>
      </c>
    </row>
    <row r="411" spans="1:14" x14ac:dyDescent="0.25">
      <c r="A411" t="s">
        <v>27</v>
      </c>
      <c r="B411" t="s">
        <v>28</v>
      </c>
      <c r="C411" t="s">
        <v>29</v>
      </c>
      <c r="D411" t="s">
        <v>274</v>
      </c>
      <c r="E411" t="s">
        <v>205</v>
      </c>
      <c r="F411">
        <v>114236.95</v>
      </c>
      <c r="G411">
        <v>105942.35</v>
      </c>
      <c r="H411">
        <v>529612.62</v>
      </c>
      <c r="I411">
        <v>108706.37</v>
      </c>
      <c r="J411" t="s">
        <v>77</v>
      </c>
      <c r="K411">
        <v>2</v>
      </c>
      <c r="L411">
        <v>4</v>
      </c>
      <c r="M411" t="s">
        <v>42</v>
      </c>
      <c r="N411" t="s">
        <v>38</v>
      </c>
    </row>
    <row r="412" spans="1:14" x14ac:dyDescent="0.25">
      <c r="A412" t="s">
        <v>32</v>
      </c>
      <c r="B412" t="s">
        <v>33</v>
      </c>
      <c r="C412" t="s">
        <v>118</v>
      </c>
      <c r="D412" t="s">
        <v>275</v>
      </c>
      <c r="E412" t="s">
        <v>205</v>
      </c>
      <c r="F412">
        <v>170310.02</v>
      </c>
      <c r="G412">
        <v>170559.58</v>
      </c>
      <c r="H412">
        <v>646706.47</v>
      </c>
      <c r="I412">
        <v>194738.04</v>
      </c>
      <c r="J412" t="s">
        <v>41</v>
      </c>
      <c r="K412">
        <v>5</v>
      </c>
      <c r="L412">
        <v>8</v>
      </c>
      <c r="M412" t="s">
        <v>20</v>
      </c>
      <c r="N412" t="s">
        <v>110</v>
      </c>
    </row>
    <row r="413" spans="1:14" x14ac:dyDescent="0.25">
      <c r="A413" t="s">
        <v>39</v>
      </c>
      <c r="B413" t="s">
        <v>40</v>
      </c>
      <c r="C413" t="s">
        <v>111</v>
      </c>
      <c r="D413" t="s">
        <v>274</v>
      </c>
      <c r="E413" t="s">
        <v>205</v>
      </c>
      <c r="F413">
        <v>135426</v>
      </c>
      <c r="G413">
        <v>131222.35</v>
      </c>
      <c r="H413">
        <v>532011</v>
      </c>
      <c r="I413">
        <v>129596.95</v>
      </c>
      <c r="J413" t="s">
        <v>25</v>
      </c>
      <c r="K413">
        <v>5</v>
      </c>
      <c r="L413">
        <v>7</v>
      </c>
      <c r="M413" t="s">
        <v>30</v>
      </c>
      <c r="N413" t="s">
        <v>110</v>
      </c>
    </row>
    <row r="414" spans="1:14" x14ac:dyDescent="0.25">
      <c r="A414" t="s">
        <v>44</v>
      </c>
      <c r="B414" t="s">
        <v>45</v>
      </c>
      <c r="C414" t="s">
        <v>111</v>
      </c>
      <c r="D414" t="s">
        <v>273</v>
      </c>
      <c r="E414" t="s">
        <v>215</v>
      </c>
      <c r="F414">
        <v>131451.67000000001</v>
      </c>
      <c r="G414">
        <v>131400</v>
      </c>
      <c r="H414" t="s">
        <v>276</v>
      </c>
      <c r="I414">
        <v>99827.1</v>
      </c>
      <c r="J414" t="s">
        <v>36</v>
      </c>
      <c r="K414">
        <v>6</v>
      </c>
      <c r="L414">
        <v>5</v>
      </c>
      <c r="M414" t="s">
        <v>30</v>
      </c>
      <c r="N414" t="s">
        <v>101</v>
      </c>
    </row>
    <row r="415" spans="1:14" x14ac:dyDescent="0.25">
      <c r="A415" t="s">
        <v>49</v>
      </c>
      <c r="B415" t="s">
        <v>50</v>
      </c>
      <c r="C415" t="s">
        <v>51</v>
      </c>
      <c r="D415" t="s">
        <v>275</v>
      </c>
      <c r="E415" t="s">
        <v>205</v>
      </c>
      <c r="F415">
        <v>32542.85</v>
      </c>
      <c r="G415">
        <v>59708.66</v>
      </c>
      <c r="H415">
        <v>138766.19</v>
      </c>
      <c r="I415">
        <v>48530.54</v>
      </c>
      <c r="J415" t="s">
        <v>53</v>
      </c>
      <c r="K415">
        <v>6</v>
      </c>
      <c r="L415">
        <v>4</v>
      </c>
      <c r="M415" t="s">
        <v>42</v>
      </c>
      <c r="N415" t="s">
        <v>113</v>
      </c>
    </row>
    <row r="416" spans="1:14" x14ac:dyDescent="0.25">
      <c r="A416" t="s">
        <v>55</v>
      </c>
      <c r="B416" t="s">
        <v>56</v>
      </c>
      <c r="C416" t="s">
        <v>57</v>
      </c>
      <c r="D416" t="s">
        <v>274</v>
      </c>
      <c r="E416" t="s">
        <v>216</v>
      </c>
      <c r="F416">
        <v>60758.82</v>
      </c>
      <c r="G416">
        <v>65519.16</v>
      </c>
      <c r="H416">
        <v>283358.78999999998</v>
      </c>
      <c r="I416">
        <v>85848.39</v>
      </c>
      <c r="J416" t="s">
        <v>19</v>
      </c>
      <c r="K416">
        <v>2</v>
      </c>
      <c r="L416">
        <v>3</v>
      </c>
      <c r="M416" t="s">
        <v>54</v>
      </c>
      <c r="N416" t="s">
        <v>65</v>
      </c>
    </row>
    <row r="417" spans="1:14" x14ac:dyDescent="0.25">
      <c r="A417" t="s">
        <v>59</v>
      </c>
      <c r="B417" t="s">
        <v>60</v>
      </c>
      <c r="C417" t="s">
        <v>70</v>
      </c>
      <c r="D417" t="s">
        <v>277</v>
      </c>
      <c r="E417" t="s">
        <v>205</v>
      </c>
      <c r="F417">
        <v>76233.539999999994</v>
      </c>
      <c r="G417">
        <v>41328.120000000003</v>
      </c>
      <c r="H417">
        <v>248820.92</v>
      </c>
      <c r="I417">
        <v>65929.09</v>
      </c>
      <c r="J417" t="s">
        <v>77</v>
      </c>
      <c r="K417">
        <v>6</v>
      </c>
      <c r="L417">
        <v>3</v>
      </c>
      <c r="M417" t="s">
        <v>42</v>
      </c>
      <c r="N417" t="s">
        <v>113</v>
      </c>
    </row>
    <row r="418" spans="1:14" x14ac:dyDescent="0.25">
      <c r="A418" t="s">
        <v>62</v>
      </c>
      <c r="B418" t="s">
        <v>63</v>
      </c>
      <c r="C418" t="s">
        <v>70</v>
      </c>
      <c r="D418" t="s">
        <v>277</v>
      </c>
      <c r="E418" t="s">
        <v>205</v>
      </c>
      <c r="F418">
        <v>31932.54</v>
      </c>
      <c r="G418">
        <v>28475.54</v>
      </c>
      <c r="H418">
        <v>125190.79</v>
      </c>
      <c r="I418">
        <v>41981.21</v>
      </c>
      <c r="J418" t="s">
        <v>19</v>
      </c>
      <c r="K418">
        <v>5</v>
      </c>
      <c r="L418">
        <v>6</v>
      </c>
      <c r="M418" t="s">
        <v>20</v>
      </c>
      <c r="N418" t="s">
        <v>73</v>
      </c>
    </row>
    <row r="419" spans="1:14" x14ac:dyDescent="0.25">
      <c r="A419" t="s">
        <v>68</v>
      </c>
      <c r="B419" t="s">
        <v>69</v>
      </c>
      <c r="C419" t="s">
        <v>114</v>
      </c>
      <c r="D419" t="s">
        <v>273</v>
      </c>
      <c r="E419" t="s">
        <v>205</v>
      </c>
      <c r="F419">
        <v>636174</v>
      </c>
      <c r="G419">
        <v>54305.84</v>
      </c>
      <c r="H419">
        <v>162174.78</v>
      </c>
      <c r="I419">
        <v>54316.99</v>
      </c>
      <c r="J419" t="s">
        <v>41</v>
      </c>
      <c r="K419">
        <v>4</v>
      </c>
      <c r="L419">
        <v>8</v>
      </c>
      <c r="M419" t="s">
        <v>58</v>
      </c>
    </row>
    <row r="420" spans="1:14" x14ac:dyDescent="0.25">
      <c r="A420" t="s">
        <v>74</v>
      </c>
      <c r="B420" t="s">
        <v>75</v>
      </c>
      <c r="C420" t="s">
        <v>57</v>
      </c>
      <c r="D420" t="s">
        <v>275</v>
      </c>
      <c r="E420" t="s">
        <v>205</v>
      </c>
      <c r="F420">
        <v>74588.570000000007</v>
      </c>
      <c r="G420">
        <v>72104.61</v>
      </c>
      <c r="H420">
        <v>2710700</v>
      </c>
      <c r="I420">
        <v>53407.01</v>
      </c>
      <c r="J420" t="s">
        <v>104</v>
      </c>
      <c r="K420">
        <v>6</v>
      </c>
      <c r="L420">
        <v>4</v>
      </c>
      <c r="M420" t="s">
        <v>58</v>
      </c>
      <c r="N420" t="s">
        <v>38</v>
      </c>
    </row>
    <row r="421" spans="1:14" x14ac:dyDescent="0.25">
      <c r="A421" t="s">
        <v>78</v>
      </c>
      <c r="B421" t="s">
        <v>79</v>
      </c>
      <c r="C421" t="s">
        <v>86</v>
      </c>
      <c r="D421" t="s">
        <v>275</v>
      </c>
      <c r="E421" t="s">
        <v>205</v>
      </c>
      <c r="F421">
        <v>14664.68</v>
      </c>
      <c r="G421">
        <v>13410.06</v>
      </c>
      <c r="H421">
        <v>68896.13</v>
      </c>
      <c r="I421">
        <v>19149.169999999998</v>
      </c>
      <c r="J421" t="s">
        <v>77</v>
      </c>
      <c r="K421">
        <v>3</v>
      </c>
      <c r="L421">
        <v>11</v>
      </c>
      <c r="M421" t="s">
        <v>20</v>
      </c>
      <c r="N421" t="s">
        <v>65</v>
      </c>
    </row>
    <row r="422" spans="1:14" x14ac:dyDescent="0.25">
      <c r="A422" t="s">
        <v>82</v>
      </c>
      <c r="B422" t="s">
        <v>83</v>
      </c>
      <c r="C422" t="s">
        <v>89</v>
      </c>
      <c r="D422" t="s">
        <v>271</v>
      </c>
      <c r="E422" t="s">
        <v>216</v>
      </c>
      <c r="F422">
        <v>44223.5</v>
      </c>
      <c r="G422">
        <v>22852.61</v>
      </c>
      <c r="H422">
        <v>137059.16</v>
      </c>
      <c r="I422">
        <v>31049.65</v>
      </c>
      <c r="J422" t="s">
        <v>104</v>
      </c>
      <c r="K422">
        <v>12</v>
      </c>
      <c r="L422">
        <v>2</v>
      </c>
      <c r="M422" t="s">
        <v>30</v>
      </c>
    </row>
    <row r="423" spans="1:14" x14ac:dyDescent="0.25">
      <c r="A423" t="s">
        <v>84</v>
      </c>
      <c r="B423" t="s">
        <v>85</v>
      </c>
      <c r="C423" t="s">
        <v>86</v>
      </c>
      <c r="D423" t="s">
        <v>277</v>
      </c>
      <c r="E423" t="s">
        <v>216</v>
      </c>
      <c r="F423" t="s">
        <v>278</v>
      </c>
      <c r="G423">
        <v>16390.16</v>
      </c>
      <c r="H423">
        <v>929.9</v>
      </c>
      <c r="I423">
        <v>268.38</v>
      </c>
      <c r="J423" t="s">
        <v>36</v>
      </c>
      <c r="K423">
        <v>12</v>
      </c>
      <c r="L423">
        <v>6</v>
      </c>
      <c r="M423" t="s">
        <v>130</v>
      </c>
      <c r="N423" t="s">
        <v>110</v>
      </c>
    </row>
    <row r="424" spans="1:14" x14ac:dyDescent="0.25">
      <c r="A424" t="s">
        <v>87</v>
      </c>
      <c r="B424" t="s">
        <v>88</v>
      </c>
      <c r="C424" t="s">
        <v>137</v>
      </c>
      <c r="D424" t="s">
        <v>273</v>
      </c>
      <c r="E424" t="s">
        <v>205</v>
      </c>
      <c r="F424">
        <v>9842.4</v>
      </c>
      <c r="G424">
        <v>10080.73</v>
      </c>
      <c r="H424">
        <v>42164.4</v>
      </c>
      <c r="I424">
        <v>10964.17</v>
      </c>
      <c r="J424" t="s">
        <v>104</v>
      </c>
      <c r="K424">
        <v>6</v>
      </c>
      <c r="L424">
        <v>5</v>
      </c>
      <c r="M424" t="s">
        <v>58</v>
      </c>
      <c r="N424" t="s">
        <v>31</v>
      </c>
    </row>
    <row r="425" spans="1:14" x14ac:dyDescent="0.25">
      <c r="A425" t="s">
        <v>90</v>
      </c>
      <c r="B425" t="s">
        <v>91</v>
      </c>
      <c r="C425" t="s">
        <v>89</v>
      </c>
      <c r="D425" t="s">
        <v>273</v>
      </c>
      <c r="E425" t="s">
        <v>205</v>
      </c>
      <c r="F425">
        <v>17668.349999999999</v>
      </c>
      <c r="G425">
        <v>15165.38</v>
      </c>
      <c r="H425" t="s">
        <v>279</v>
      </c>
      <c r="I425">
        <v>21330.959999999999</v>
      </c>
      <c r="J425" t="s">
        <v>53</v>
      </c>
      <c r="K425">
        <v>2</v>
      </c>
      <c r="L425">
        <v>2</v>
      </c>
      <c r="M425" t="s">
        <v>54</v>
      </c>
      <c r="N425" t="s">
        <v>101</v>
      </c>
    </row>
    <row r="426" spans="1:14" x14ac:dyDescent="0.25">
      <c r="A426" t="s">
        <v>93</v>
      </c>
      <c r="B426" t="s">
        <v>94</v>
      </c>
      <c r="C426" t="s">
        <v>89</v>
      </c>
      <c r="D426" t="s">
        <v>273</v>
      </c>
      <c r="E426" t="s">
        <v>205</v>
      </c>
      <c r="F426">
        <v>23715.58</v>
      </c>
      <c r="G426">
        <v>12768.08</v>
      </c>
      <c r="H426">
        <v>79276.240000000005</v>
      </c>
      <c r="I426">
        <v>23285.13</v>
      </c>
      <c r="J426" t="s">
        <v>41</v>
      </c>
      <c r="K426">
        <v>5</v>
      </c>
      <c r="L426">
        <v>2</v>
      </c>
      <c r="M426" t="s">
        <v>112</v>
      </c>
    </row>
    <row r="427" spans="1:14" x14ac:dyDescent="0.25">
      <c r="A427" t="s">
        <v>96</v>
      </c>
      <c r="B427" t="s">
        <v>97</v>
      </c>
      <c r="C427" t="s">
        <v>137</v>
      </c>
      <c r="D427" t="s">
        <v>277</v>
      </c>
      <c r="E427" t="s">
        <v>205</v>
      </c>
      <c r="F427">
        <v>22625.97</v>
      </c>
      <c r="G427">
        <v>27591.5</v>
      </c>
      <c r="H427">
        <v>69711.08</v>
      </c>
      <c r="I427">
        <v>16380.19</v>
      </c>
      <c r="J427" t="s">
        <v>104</v>
      </c>
      <c r="K427">
        <v>2</v>
      </c>
      <c r="L427">
        <v>3</v>
      </c>
      <c r="M427" t="s">
        <v>42</v>
      </c>
      <c r="N427" t="s">
        <v>26</v>
      </c>
    </row>
    <row r="428" spans="1:14" x14ac:dyDescent="0.25">
      <c r="A428" t="s">
        <v>14</v>
      </c>
      <c r="B428" t="s">
        <v>15</v>
      </c>
      <c r="C428" t="s">
        <v>46</v>
      </c>
      <c r="D428" t="s">
        <v>280</v>
      </c>
      <c r="E428" t="s">
        <v>216</v>
      </c>
      <c r="F428">
        <v>137553.56</v>
      </c>
      <c r="G428">
        <v>139908.87</v>
      </c>
      <c r="H428">
        <v>681957</v>
      </c>
      <c r="I428">
        <v>184913.23</v>
      </c>
      <c r="J428" t="s">
        <v>19</v>
      </c>
      <c r="K428">
        <v>5</v>
      </c>
      <c r="L428">
        <v>8</v>
      </c>
      <c r="M428" t="s">
        <v>30</v>
      </c>
      <c r="N428" t="s">
        <v>81</v>
      </c>
    </row>
    <row r="429" spans="1:14" x14ac:dyDescent="0.25">
      <c r="A429" t="s">
        <v>21</v>
      </c>
      <c r="B429" t="s">
        <v>22</v>
      </c>
      <c r="C429" t="s">
        <v>29</v>
      </c>
      <c r="D429" t="s">
        <v>281</v>
      </c>
      <c r="E429" t="s">
        <v>205</v>
      </c>
      <c r="F429">
        <v>138327.67000000001</v>
      </c>
      <c r="G429">
        <v>231659.27</v>
      </c>
      <c r="H429">
        <v>478050.53</v>
      </c>
      <c r="I429">
        <v>104937.99</v>
      </c>
      <c r="J429" t="s">
        <v>77</v>
      </c>
      <c r="K429">
        <v>5</v>
      </c>
      <c r="L429">
        <v>8</v>
      </c>
      <c r="M429" t="s">
        <v>30</v>
      </c>
      <c r="N429" t="s">
        <v>26</v>
      </c>
    </row>
    <row r="430" spans="1:14" x14ac:dyDescent="0.25">
      <c r="A430" t="s">
        <v>27</v>
      </c>
      <c r="B430" t="s">
        <v>28</v>
      </c>
      <c r="C430" t="s">
        <v>34</v>
      </c>
      <c r="D430" t="s">
        <v>280</v>
      </c>
      <c r="E430" t="s">
        <v>205</v>
      </c>
      <c r="F430">
        <v>132433.31</v>
      </c>
      <c r="G430">
        <v>130709.47</v>
      </c>
      <c r="H430" t="s">
        <v>282</v>
      </c>
      <c r="I430">
        <v>100421.65</v>
      </c>
      <c r="J430" t="s">
        <v>19</v>
      </c>
      <c r="K430">
        <v>6</v>
      </c>
      <c r="L430">
        <v>3</v>
      </c>
      <c r="M430" t="s">
        <v>20</v>
      </c>
      <c r="N430" t="s">
        <v>73</v>
      </c>
    </row>
    <row r="431" spans="1:14" x14ac:dyDescent="0.25">
      <c r="A431" t="s">
        <v>32</v>
      </c>
      <c r="B431" t="s">
        <v>33</v>
      </c>
      <c r="C431" t="s">
        <v>34</v>
      </c>
      <c r="D431" t="s">
        <v>283</v>
      </c>
      <c r="E431" t="s">
        <v>205</v>
      </c>
      <c r="F431">
        <v>112061.4</v>
      </c>
      <c r="G431">
        <v>113731.55</v>
      </c>
      <c r="H431">
        <v>3481020</v>
      </c>
      <c r="I431">
        <v>116283.17</v>
      </c>
      <c r="J431" t="s">
        <v>41</v>
      </c>
      <c r="K431">
        <v>6</v>
      </c>
      <c r="L431">
        <v>6</v>
      </c>
      <c r="M431" t="s">
        <v>177</v>
      </c>
      <c r="N431" t="s">
        <v>115</v>
      </c>
    </row>
    <row r="432" spans="1:14" x14ac:dyDescent="0.25">
      <c r="A432" t="s">
        <v>39</v>
      </c>
      <c r="B432" t="s">
        <v>40</v>
      </c>
      <c r="C432" t="s">
        <v>118</v>
      </c>
      <c r="D432" t="s">
        <v>284</v>
      </c>
      <c r="E432" t="s">
        <v>205</v>
      </c>
      <c r="F432">
        <v>99814.48</v>
      </c>
      <c r="G432">
        <v>97925</v>
      </c>
      <c r="H432">
        <v>292874.61</v>
      </c>
      <c r="I432">
        <v>92311.039999999994</v>
      </c>
      <c r="J432" t="s">
        <v>36</v>
      </c>
      <c r="K432">
        <v>2</v>
      </c>
      <c r="L432">
        <v>2</v>
      </c>
      <c r="M432" t="s">
        <v>30</v>
      </c>
    </row>
    <row r="433" spans="1:14" x14ac:dyDescent="0.25">
      <c r="A433" t="s">
        <v>44</v>
      </c>
      <c r="B433" t="s">
        <v>45</v>
      </c>
      <c r="C433" t="s">
        <v>46</v>
      </c>
      <c r="D433" t="s">
        <v>285</v>
      </c>
      <c r="E433" t="s">
        <v>216</v>
      </c>
      <c r="F433" t="s">
        <v>286</v>
      </c>
      <c r="G433">
        <v>166517.20000000001</v>
      </c>
      <c r="H433">
        <v>456264.97</v>
      </c>
      <c r="I433">
        <v>113017.55</v>
      </c>
      <c r="J433" t="s">
        <v>36</v>
      </c>
      <c r="K433">
        <v>2</v>
      </c>
      <c r="L433">
        <v>8</v>
      </c>
      <c r="M433" t="s">
        <v>20</v>
      </c>
    </row>
    <row r="434" spans="1:14" x14ac:dyDescent="0.25">
      <c r="A434" t="s">
        <v>49</v>
      </c>
      <c r="B434" t="s">
        <v>50</v>
      </c>
      <c r="C434" t="s">
        <v>70</v>
      </c>
      <c r="D434" t="s">
        <v>283</v>
      </c>
      <c r="E434" t="s">
        <v>205</v>
      </c>
      <c r="F434">
        <v>48133.56</v>
      </c>
      <c r="G434">
        <v>78703.460000000006</v>
      </c>
      <c r="H434">
        <v>165476.76999999999</v>
      </c>
      <c r="I434">
        <v>31809.56</v>
      </c>
      <c r="J434" t="s">
        <v>25</v>
      </c>
      <c r="K434">
        <v>2</v>
      </c>
      <c r="L434">
        <v>5</v>
      </c>
      <c r="M434" t="s">
        <v>58</v>
      </c>
      <c r="N434" t="s">
        <v>38</v>
      </c>
    </row>
    <row r="435" spans="1:14" x14ac:dyDescent="0.25">
      <c r="A435" t="s">
        <v>55</v>
      </c>
      <c r="B435" t="s">
        <v>56</v>
      </c>
      <c r="C435" t="s">
        <v>114</v>
      </c>
      <c r="D435" t="s">
        <v>280</v>
      </c>
      <c r="E435" t="s">
        <v>205</v>
      </c>
      <c r="F435">
        <v>52388.69</v>
      </c>
      <c r="G435">
        <v>52323.01</v>
      </c>
      <c r="H435">
        <v>12275.75</v>
      </c>
      <c r="I435">
        <v>3012.72</v>
      </c>
      <c r="J435" t="s">
        <v>25</v>
      </c>
      <c r="K435">
        <v>5</v>
      </c>
      <c r="L435">
        <v>2</v>
      </c>
      <c r="M435" t="s">
        <v>20</v>
      </c>
      <c r="N435" t="s">
        <v>105</v>
      </c>
    </row>
    <row r="436" spans="1:14" x14ac:dyDescent="0.25">
      <c r="A436" t="s">
        <v>59</v>
      </c>
      <c r="B436" t="s">
        <v>60</v>
      </c>
      <c r="C436" t="s">
        <v>76</v>
      </c>
      <c r="D436" t="s">
        <v>281</v>
      </c>
      <c r="E436" t="s">
        <v>205</v>
      </c>
      <c r="F436">
        <v>43715.08</v>
      </c>
      <c r="G436">
        <v>23665.919999999998</v>
      </c>
      <c r="H436">
        <v>137847.95000000001</v>
      </c>
      <c r="I436">
        <v>40772.839999999997</v>
      </c>
      <c r="J436" t="s">
        <v>77</v>
      </c>
      <c r="K436">
        <v>3</v>
      </c>
      <c r="L436">
        <v>3</v>
      </c>
      <c r="M436" t="s">
        <v>54</v>
      </c>
      <c r="N436" t="s">
        <v>26</v>
      </c>
    </row>
    <row r="437" spans="1:14" x14ac:dyDescent="0.25">
      <c r="A437" t="s">
        <v>62</v>
      </c>
      <c r="B437" t="s">
        <v>63</v>
      </c>
      <c r="C437" t="s">
        <v>114</v>
      </c>
      <c r="D437" t="s">
        <v>285</v>
      </c>
      <c r="E437" t="s">
        <v>205</v>
      </c>
      <c r="F437">
        <v>41329.4</v>
      </c>
      <c r="G437">
        <v>40947.24</v>
      </c>
      <c r="H437">
        <v>129451.03</v>
      </c>
      <c r="I437">
        <v>44596.68</v>
      </c>
      <c r="J437" t="s">
        <v>36</v>
      </c>
      <c r="K437">
        <v>6</v>
      </c>
      <c r="L437">
        <v>7</v>
      </c>
      <c r="M437" t="s">
        <v>64</v>
      </c>
      <c r="N437" t="s">
        <v>101</v>
      </c>
    </row>
    <row r="438" spans="1:14" x14ac:dyDescent="0.25">
      <c r="A438" t="s">
        <v>66</v>
      </c>
      <c r="B438" t="s">
        <v>67</v>
      </c>
      <c r="C438" t="s">
        <v>76</v>
      </c>
      <c r="D438" t="s">
        <v>285</v>
      </c>
      <c r="E438" t="s">
        <v>205</v>
      </c>
      <c r="F438">
        <v>53878.21</v>
      </c>
      <c r="G438">
        <v>52637.51</v>
      </c>
      <c r="H438">
        <v>3446.5</v>
      </c>
      <c r="I438">
        <v>1028.3399999999999</v>
      </c>
      <c r="J438" t="s">
        <v>104</v>
      </c>
      <c r="K438">
        <v>5</v>
      </c>
      <c r="L438">
        <v>3</v>
      </c>
      <c r="M438" t="s">
        <v>42</v>
      </c>
      <c r="N438" t="s">
        <v>110</v>
      </c>
    </row>
    <row r="439" spans="1:14" x14ac:dyDescent="0.25">
      <c r="A439" t="s">
        <v>68</v>
      </c>
      <c r="B439" t="s">
        <v>69</v>
      </c>
      <c r="C439" t="s">
        <v>51</v>
      </c>
      <c r="D439" t="s">
        <v>281</v>
      </c>
      <c r="E439" t="s">
        <v>205</v>
      </c>
      <c r="F439">
        <v>42754.400000000001</v>
      </c>
      <c r="G439">
        <v>41220.07</v>
      </c>
      <c r="H439">
        <v>1793375</v>
      </c>
      <c r="I439">
        <v>67120.960000000006</v>
      </c>
      <c r="J439" t="s">
        <v>25</v>
      </c>
      <c r="K439">
        <v>4</v>
      </c>
      <c r="L439">
        <v>3</v>
      </c>
      <c r="M439" t="s">
        <v>54</v>
      </c>
      <c r="N439" t="s">
        <v>127</v>
      </c>
    </row>
    <row r="440" spans="1:14" x14ac:dyDescent="0.25">
      <c r="A440" t="s">
        <v>78</v>
      </c>
      <c r="B440" t="s">
        <v>79</v>
      </c>
      <c r="C440" t="s">
        <v>86</v>
      </c>
      <c r="D440" t="s">
        <v>284</v>
      </c>
      <c r="E440" t="s">
        <v>205</v>
      </c>
      <c r="F440">
        <v>33790.769999999997</v>
      </c>
      <c r="G440">
        <v>34908.04</v>
      </c>
      <c r="H440">
        <v>167907.93</v>
      </c>
      <c r="I440">
        <v>45133.13</v>
      </c>
      <c r="J440" t="s">
        <v>36</v>
      </c>
      <c r="K440">
        <v>2</v>
      </c>
      <c r="L440">
        <v>14</v>
      </c>
      <c r="M440" t="s">
        <v>54</v>
      </c>
      <c r="N440" t="s">
        <v>105</v>
      </c>
    </row>
    <row r="441" spans="1:14" x14ac:dyDescent="0.25">
      <c r="A441" t="s">
        <v>82</v>
      </c>
      <c r="B441" t="s">
        <v>83</v>
      </c>
      <c r="C441" t="s">
        <v>80</v>
      </c>
      <c r="D441" t="s">
        <v>287</v>
      </c>
      <c r="E441" t="s">
        <v>215</v>
      </c>
      <c r="F441">
        <v>33892.83</v>
      </c>
      <c r="G441">
        <v>18073.52</v>
      </c>
      <c r="H441">
        <v>7595.66</v>
      </c>
      <c r="I441">
        <v>1886.06</v>
      </c>
      <c r="J441" t="s">
        <v>25</v>
      </c>
      <c r="K441">
        <v>4</v>
      </c>
      <c r="L441">
        <v>7</v>
      </c>
      <c r="M441" t="s">
        <v>30</v>
      </c>
      <c r="N441" t="s">
        <v>101</v>
      </c>
    </row>
    <row r="442" spans="1:14" x14ac:dyDescent="0.25">
      <c r="A442" t="s">
        <v>87</v>
      </c>
      <c r="B442" t="s">
        <v>88</v>
      </c>
      <c r="C442" t="s">
        <v>116</v>
      </c>
      <c r="D442" t="s">
        <v>281</v>
      </c>
      <c r="E442" t="s">
        <v>205</v>
      </c>
      <c r="F442">
        <v>33432.32</v>
      </c>
      <c r="G442">
        <v>32243.35</v>
      </c>
      <c r="H442">
        <v>7071.32</v>
      </c>
      <c r="I442">
        <v>1664.16</v>
      </c>
      <c r="J442" t="s">
        <v>19</v>
      </c>
      <c r="K442">
        <v>9</v>
      </c>
      <c r="L442">
        <v>12</v>
      </c>
      <c r="M442" t="s">
        <v>20</v>
      </c>
      <c r="N442" t="s">
        <v>127</v>
      </c>
    </row>
    <row r="443" spans="1:14" x14ac:dyDescent="0.25">
      <c r="A443" t="s">
        <v>90</v>
      </c>
      <c r="B443" t="s">
        <v>91</v>
      </c>
      <c r="C443" t="s">
        <v>137</v>
      </c>
      <c r="D443" t="s">
        <v>287</v>
      </c>
      <c r="E443" t="s">
        <v>212</v>
      </c>
      <c r="F443">
        <v>15934.3</v>
      </c>
      <c r="G443">
        <v>14962.55</v>
      </c>
      <c r="H443">
        <v>74487.23</v>
      </c>
      <c r="I443">
        <v>23346.27</v>
      </c>
      <c r="J443" t="s">
        <v>25</v>
      </c>
      <c r="K443">
        <v>10</v>
      </c>
      <c r="L443">
        <v>4</v>
      </c>
      <c r="M443" t="s">
        <v>20</v>
      </c>
    </row>
    <row r="444" spans="1:14" x14ac:dyDescent="0.25">
      <c r="A444" t="s">
        <v>93</v>
      </c>
      <c r="B444" t="s">
        <v>94</v>
      </c>
      <c r="C444" t="s">
        <v>89</v>
      </c>
      <c r="D444" t="s">
        <v>287</v>
      </c>
      <c r="E444" t="s">
        <v>205</v>
      </c>
      <c r="F444">
        <v>18733.39</v>
      </c>
      <c r="G444">
        <v>9073.74</v>
      </c>
      <c r="H444">
        <v>4417.3500000000004</v>
      </c>
      <c r="I444">
        <v>1040.31</v>
      </c>
      <c r="J444" t="s">
        <v>19</v>
      </c>
      <c r="K444">
        <v>8</v>
      </c>
      <c r="L444">
        <v>8</v>
      </c>
      <c r="M444" t="s">
        <v>58</v>
      </c>
    </row>
    <row r="445" spans="1:14" x14ac:dyDescent="0.25">
      <c r="A445" t="s">
        <v>96</v>
      </c>
      <c r="B445" t="s">
        <v>97</v>
      </c>
      <c r="C445" t="s">
        <v>89</v>
      </c>
      <c r="D445" t="s">
        <v>285</v>
      </c>
      <c r="E445" t="s">
        <v>205</v>
      </c>
      <c r="F445">
        <v>26678.18</v>
      </c>
      <c r="G445">
        <v>28662.720000000001</v>
      </c>
      <c r="H445">
        <v>117806.68</v>
      </c>
      <c r="I445">
        <v>34102.410000000003</v>
      </c>
      <c r="J445" t="s">
        <v>36</v>
      </c>
      <c r="K445">
        <v>8</v>
      </c>
      <c r="L445">
        <v>11</v>
      </c>
      <c r="M445" t="s">
        <v>37</v>
      </c>
      <c r="N445" t="s">
        <v>127</v>
      </c>
    </row>
    <row r="446" spans="1:14" x14ac:dyDescent="0.25">
      <c r="A446" t="s">
        <v>14</v>
      </c>
      <c r="B446" t="s">
        <v>15</v>
      </c>
      <c r="C446" t="s">
        <v>34</v>
      </c>
      <c r="D446" t="s">
        <v>288</v>
      </c>
      <c r="E446" t="s">
        <v>205</v>
      </c>
      <c r="F446">
        <v>95593.55</v>
      </c>
      <c r="G446">
        <v>94616.13</v>
      </c>
      <c r="H446">
        <v>416935.52</v>
      </c>
      <c r="I446">
        <v>101113.24</v>
      </c>
      <c r="J446" t="s">
        <v>53</v>
      </c>
      <c r="K446">
        <v>3</v>
      </c>
      <c r="L446">
        <v>4</v>
      </c>
      <c r="M446" t="s">
        <v>64</v>
      </c>
      <c r="N446" t="s">
        <v>95</v>
      </c>
    </row>
    <row r="447" spans="1:14" x14ac:dyDescent="0.25">
      <c r="A447" t="s">
        <v>21</v>
      </c>
      <c r="B447" t="s">
        <v>22</v>
      </c>
      <c r="C447" t="s">
        <v>29</v>
      </c>
      <c r="D447" t="s">
        <v>289</v>
      </c>
      <c r="E447" t="s">
        <v>205</v>
      </c>
      <c r="F447">
        <v>154611.26999999999</v>
      </c>
      <c r="G447">
        <v>271575.28999999998</v>
      </c>
      <c r="H447">
        <v>539327.55000000005</v>
      </c>
      <c r="I447">
        <v>139309.64000000001</v>
      </c>
      <c r="J447" t="s">
        <v>53</v>
      </c>
      <c r="K447">
        <v>2</v>
      </c>
      <c r="L447">
        <v>2</v>
      </c>
      <c r="M447" t="s">
        <v>42</v>
      </c>
      <c r="N447" t="s">
        <v>115</v>
      </c>
    </row>
    <row r="448" spans="1:14" x14ac:dyDescent="0.25">
      <c r="A448" t="s">
        <v>27</v>
      </c>
      <c r="B448" t="s">
        <v>28</v>
      </c>
      <c r="C448" t="s">
        <v>111</v>
      </c>
      <c r="D448" t="s">
        <v>290</v>
      </c>
      <c r="E448" t="s">
        <v>205</v>
      </c>
      <c r="F448">
        <v>123244.8</v>
      </c>
      <c r="G448">
        <v>127112.4</v>
      </c>
      <c r="H448">
        <v>392366.01</v>
      </c>
      <c r="I448">
        <v>108911.09</v>
      </c>
      <c r="J448" t="s">
        <v>53</v>
      </c>
      <c r="K448">
        <v>6</v>
      </c>
      <c r="L448">
        <v>2</v>
      </c>
      <c r="M448" t="s">
        <v>20</v>
      </c>
      <c r="N448" t="s">
        <v>105</v>
      </c>
    </row>
    <row r="449" spans="1:14" x14ac:dyDescent="0.25">
      <c r="A449" t="s">
        <v>32</v>
      </c>
      <c r="B449" t="s">
        <v>33</v>
      </c>
      <c r="C449" t="s">
        <v>16</v>
      </c>
      <c r="D449" t="s">
        <v>290</v>
      </c>
      <c r="E449" t="s">
        <v>205</v>
      </c>
      <c r="F449">
        <v>87359.28</v>
      </c>
      <c r="G449">
        <v>89402.41</v>
      </c>
      <c r="H449">
        <v>405517.16</v>
      </c>
      <c r="I449">
        <v>93612.54</v>
      </c>
      <c r="J449" t="s">
        <v>77</v>
      </c>
      <c r="K449">
        <v>6</v>
      </c>
      <c r="L449">
        <v>3</v>
      </c>
      <c r="M449" t="s">
        <v>92</v>
      </c>
      <c r="N449" t="s">
        <v>73</v>
      </c>
    </row>
    <row r="450" spans="1:14" x14ac:dyDescent="0.25">
      <c r="A450" t="s">
        <v>39</v>
      </c>
      <c r="B450" t="s">
        <v>40</v>
      </c>
      <c r="C450" t="s">
        <v>118</v>
      </c>
      <c r="D450" t="s">
        <v>288</v>
      </c>
      <c r="E450" t="s">
        <v>205</v>
      </c>
      <c r="F450">
        <v>209228.93</v>
      </c>
      <c r="G450">
        <v>211921.91</v>
      </c>
      <c r="H450">
        <v>573977.5</v>
      </c>
      <c r="I450">
        <v>180525.78</v>
      </c>
      <c r="J450" t="s">
        <v>53</v>
      </c>
      <c r="K450">
        <v>1</v>
      </c>
      <c r="L450">
        <v>7</v>
      </c>
      <c r="M450" t="s">
        <v>42</v>
      </c>
      <c r="N450" t="s">
        <v>101</v>
      </c>
    </row>
    <row r="451" spans="1:14" x14ac:dyDescent="0.25">
      <c r="A451" t="s">
        <v>44</v>
      </c>
      <c r="B451" t="s">
        <v>45</v>
      </c>
      <c r="C451" t="s">
        <v>16</v>
      </c>
      <c r="D451" t="s">
        <v>288</v>
      </c>
      <c r="E451" t="s">
        <v>205</v>
      </c>
      <c r="F451">
        <v>81278.55</v>
      </c>
      <c r="G451">
        <v>82453.94</v>
      </c>
      <c r="H451">
        <v>341028.1</v>
      </c>
      <c r="I451">
        <v>69942.45</v>
      </c>
      <c r="J451" t="s">
        <v>36</v>
      </c>
      <c r="K451">
        <v>4</v>
      </c>
      <c r="L451">
        <v>2</v>
      </c>
      <c r="M451" t="s">
        <v>58</v>
      </c>
    </row>
    <row r="452" spans="1:14" x14ac:dyDescent="0.25">
      <c r="A452" t="s">
        <v>49</v>
      </c>
      <c r="B452" t="s">
        <v>50</v>
      </c>
      <c r="C452" t="s">
        <v>61</v>
      </c>
      <c r="D452" t="s">
        <v>290</v>
      </c>
      <c r="E452" t="s">
        <v>205</v>
      </c>
      <c r="F452">
        <v>30177.88</v>
      </c>
      <c r="G452">
        <v>47390.38</v>
      </c>
      <c r="H452">
        <v>112308.93</v>
      </c>
      <c r="I452">
        <v>38440.47</v>
      </c>
      <c r="J452" t="s">
        <v>25</v>
      </c>
      <c r="K452">
        <v>6</v>
      </c>
      <c r="L452">
        <v>7</v>
      </c>
      <c r="M452" t="s">
        <v>30</v>
      </c>
    </row>
    <row r="453" spans="1:14" x14ac:dyDescent="0.25">
      <c r="A453" t="s">
        <v>55</v>
      </c>
      <c r="B453" t="s">
        <v>56</v>
      </c>
      <c r="C453" t="s">
        <v>114</v>
      </c>
      <c r="D453" t="s">
        <v>288</v>
      </c>
      <c r="E453" t="s">
        <v>205</v>
      </c>
      <c r="F453">
        <v>65211.03</v>
      </c>
      <c r="G453">
        <v>69024.7</v>
      </c>
      <c r="H453">
        <v>207652.26</v>
      </c>
      <c r="I453">
        <v>65418.44</v>
      </c>
      <c r="J453" t="s">
        <v>53</v>
      </c>
      <c r="K453">
        <v>2</v>
      </c>
      <c r="L453">
        <v>8</v>
      </c>
      <c r="M453" t="s">
        <v>20</v>
      </c>
      <c r="N453" t="s">
        <v>113</v>
      </c>
    </row>
    <row r="454" spans="1:14" x14ac:dyDescent="0.25">
      <c r="A454" t="s">
        <v>59</v>
      </c>
      <c r="B454" t="s">
        <v>60</v>
      </c>
      <c r="C454" t="s">
        <v>76</v>
      </c>
      <c r="D454" t="s">
        <v>288</v>
      </c>
      <c r="E454" t="s">
        <v>205</v>
      </c>
      <c r="F454">
        <v>106952.33</v>
      </c>
      <c r="G454">
        <v>52038.03</v>
      </c>
      <c r="H454" t="s">
        <v>291</v>
      </c>
      <c r="I454">
        <v>136886.28</v>
      </c>
      <c r="J454" t="s">
        <v>19</v>
      </c>
      <c r="K454">
        <v>1</v>
      </c>
      <c r="L454">
        <v>2</v>
      </c>
      <c r="M454" t="s">
        <v>54</v>
      </c>
      <c r="N454" t="s">
        <v>125</v>
      </c>
    </row>
    <row r="455" spans="1:14" x14ac:dyDescent="0.25">
      <c r="A455" t="s">
        <v>62</v>
      </c>
      <c r="B455" t="s">
        <v>63</v>
      </c>
      <c r="C455" t="s">
        <v>70</v>
      </c>
      <c r="D455" t="s">
        <v>292</v>
      </c>
      <c r="E455" t="s">
        <v>205</v>
      </c>
      <c r="F455">
        <v>45405.63</v>
      </c>
      <c r="G455">
        <v>46784.52</v>
      </c>
      <c r="H455">
        <v>224749.74</v>
      </c>
      <c r="I455">
        <v>54345.64</v>
      </c>
      <c r="J455" t="s">
        <v>41</v>
      </c>
      <c r="K455">
        <v>5</v>
      </c>
      <c r="L455">
        <v>2</v>
      </c>
      <c r="M455" t="s">
        <v>30</v>
      </c>
    </row>
    <row r="456" spans="1:14" x14ac:dyDescent="0.25">
      <c r="A456" t="s">
        <v>66</v>
      </c>
      <c r="B456" t="s">
        <v>67</v>
      </c>
      <c r="C456" t="s">
        <v>51</v>
      </c>
      <c r="D456" t="s">
        <v>293</v>
      </c>
      <c r="E456" t="s">
        <v>205</v>
      </c>
      <c r="F456">
        <v>48776.160000000003</v>
      </c>
      <c r="G456">
        <v>51180.53</v>
      </c>
      <c r="H456">
        <v>195857.28</v>
      </c>
      <c r="I456">
        <v>58159.46</v>
      </c>
      <c r="J456" t="s">
        <v>77</v>
      </c>
      <c r="K456">
        <v>6</v>
      </c>
      <c r="L456">
        <v>6</v>
      </c>
      <c r="M456" t="s">
        <v>58</v>
      </c>
      <c r="N456" t="s">
        <v>95</v>
      </c>
    </row>
    <row r="457" spans="1:14" x14ac:dyDescent="0.25">
      <c r="A457" t="s">
        <v>68</v>
      </c>
      <c r="B457" t="s">
        <v>69</v>
      </c>
      <c r="C457" t="s">
        <v>76</v>
      </c>
      <c r="D457" t="s">
        <v>290</v>
      </c>
      <c r="E457" t="s">
        <v>215</v>
      </c>
      <c r="F457">
        <v>73746.259999999995</v>
      </c>
      <c r="G457">
        <v>73056.13</v>
      </c>
      <c r="H457">
        <v>232425.08</v>
      </c>
      <c r="I457">
        <v>48289.63</v>
      </c>
      <c r="J457" t="s">
        <v>19</v>
      </c>
      <c r="K457">
        <v>4</v>
      </c>
      <c r="L457">
        <v>5</v>
      </c>
      <c r="M457" t="s">
        <v>42</v>
      </c>
      <c r="N457" t="s">
        <v>101</v>
      </c>
    </row>
    <row r="458" spans="1:14" x14ac:dyDescent="0.25">
      <c r="A458" t="s">
        <v>74</v>
      </c>
      <c r="B458" t="s">
        <v>75</v>
      </c>
      <c r="C458" t="s">
        <v>70</v>
      </c>
      <c r="D458" t="s">
        <v>288</v>
      </c>
      <c r="E458" t="s">
        <v>205</v>
      </c>
      <c r="F458">
        <v>63818.53</v>
      </c>
      <c r="G458">
        <v>64950.19</v>
      </c>
      <c r="H458">
        <v>226505.76</v>
      </c>
      <c r="I458">
        <v>78986.259999999995</v>
      </c>
      <c r="J458" t="s">
        <v>104</v>
      </c>
      <c r="K458">
        <v>4</v>
      </c>
      <c r="L458">
        <v>3</v>
      </c>
      <c r="M458" t="s">
        <v>54</v>
      </c>
      <c r="N458" t="s">
        <v>95</v>
      </c>
    </row>
    <row r="459" spans="1:14" x14ac:dyDescent="0.25">
      <c r="A459" t="s">
        <v>78</v>
      </c>
      <c r="B459" t="s">
        <v>79</v>
      </c>
      <c r="C459" t="s">
        <v>137</v>
      </c>
      <c r="D459" t="s">
        <v>288</v>
      </c>
      <c r="E459" t="s">
        <v>205</v>
      </c>
      <c r="F459">
        <v>29007.919999999998</v>
      </c>
      <c r="G459">
        <v>26956.07</v>
      </c>
      <c r="H459">
        <v>3638.5</v>
      </c>
      <c r="I459">
        <v>1254.1600000000001</v>
      </c>
      <c r="J459" t="s">
        <v>36</v>
      </c>
      <c r="K459">
        <v>8</v>
      </c>
      <c r="L459">
        <v>14</v>
      </c>
      <c r="M459" t="s">
        <v>177</v>
      </c>
    </row>
    <row r="460" spans="1:14" x14ac:dyDescent="0.25">
      <c r="A460" t="s">
        <v>82</v>
      </c>
      <c r="B460" t="s">
        <v>83</v>
      </c>
      <c r="C460" t="s">
        <v>116</v>
      </c>
      <c r="D460" t="s">
        <v>288</v>
      </c>
      <c r="E460" t="s">
        <v>205</v>
      </c>
      <c r="F460">
        <v>31811.53</v>
      </c>
      <c r="G460">
        <v>15387.7</v>
      </c>
      <c r="H460">
        <v>110510.33</v>
      </c>
      <c r="I460">
        <v>33818.43</v>
      </c>
      <c r="J460" t="s">
        <v>77</v>
      </c>
      <c r="K460">
        <v>10</v>
      </c>
      <c r="L460">
        <v>14</v>
      </c>
      <c r="M460" t="s">
        <v>20</v>
      </c>
      <c r="N460" t="s">
        <v>31</v>
      </c>
    </row>
    <row r="461" spans="1:14" x14ac:dyDescent="0.25">
      <c r="A461" t="s">
        <v>84</v>
      </c>
      <c r="B461" t="s">
        <v>85</v>
      </c>
      <c r="C461" t="s">
        <v>116</v>
      </c>
      <c r="D461" t="s">
        <v>292</v>
      </c>
      <c r="E461" t="s">
        <v>205</v>
      </c>
      <c r="F461">
        <v>27586.32</v>
      </c>
      <c r="G461">
        <v>30204.26</v>
      </c>
      <c r="H461">
        <v>122588.65</v>
      </c>
      <c r="I461">
        <v>30782.19</v>
      </c>
      <c r="J461" t="s">
        <v>36</v>
      </c>
      <c r="K461">
        <v>9</v>
      </c>
      <c r="L461">
        <v>13</v>
      </c>
      <c r="M461" t="s">
        <v>42</v>
      </c>
      <c r="N461" t="s">
        <v>26</v>
      </c>
    </row>
    <row r="462" spans="1:14" x14ac:dyDescent="0.25">
      <c r="A462" t="s">
        <v>87</v>
      </c>
      <c r="B462" t="s">
        <v>88</v>
      </c>
      <c r="C462" t="s">
        <v>137</v>
      </c>
      <c r="D462" t="s">
        <v>292</v>
      </c>
      <c r="E462" t="s">
        <v>205</v>
      </c>
      <c r="F462">
        <v>18975.900000000001</v>
      </c>
      <c r="G462">
        <v>18265.2</v>
      </c>
      <c r="H462">
        <v>77548.649999999994</v>
      </c>
      <c r="I462">
        <v>17123.23</v>
      </c>
      <c r="J462" t="s">
        <v>77</v>
      </c>
      <c r="K462">
        <v>3</v>
      </c>
      <c r="L462">
        <v>3</v>
      </c>
      <c r="M462" t="s">
        <v>30</v>
      </c>
      <c r="N462" t="s">
        <v>43</v>
      </c>
    </row>
    <row r="463" spans="1:14" x14ac:dyDescent="0.25">
      <c r="A463" t="s">
        <v>90</v>
      </c>
      <c r="B463" t="s">
        <v>91</v>
      </c>
      <c r="C463" t="s">
        <v>89</v>
      </c>
      <c r="D463" t="s">
        <v>294</v>
      </c>
      <c r="E463" t="s">
        <v>205</v>
      </c>
      <c r="F463">
        <v>21905.31</v>
      </c>
      <c r="G463">
        <v>24086.880000000001</v>
      </c>
      <c r="H463">
        <v>92981.58</v>
      </c>
      <c r="I463">
        <v>26478.240000000002</v>
      </c>
      <c r="J463" t="s">
        <v>77</v>
      </c>
      <c r="K463">
        <v>2</v>
      </c>
      <c r="L463">
        <v>10</v>
      </c>
      <c r="M463" t="s">
        <v>54</v>
      </c>
    </row>
    <row r="464" spans="1:14" x14ac:dyDescent="0.25">
      <c r="A464" t="s">
        <v>96</v>
      </c>
      <c r="B464" t="s">
        <v>97</v>
      </c>
      <c r="C464" t="s">
        <v>116</v>
      </c>
      <c r="D464" t="s">
        <v>289</v>
      </c>
      <c r="E464" t="s">
        <v>205</v>
      </c>
      <c r="F464">
        <v>12550.37</v>
      </c>
      <c r="G464">
        <v>13630.17</v>
      </c>
      <c r="H464">
        <v>47801.75</v>
      </c>
      <c r="I464">
        <v>9214.7800000000007</v>
      </c>
      <c r="J464" t="s">
        <v>77</v>
      </c>
      <c r="K464">
        <v>4</v>
      </c>
      <c r="L464">
        <v>14</v>
      </c>
      <c r="M464" t="s">
        <v>30</v>
      </c>
      <c r="N464" t="s">
        <v>127</v>
      </c>
    </row>
    <row r="465" spans="1:14" x14ac:dyDescent="0.25">
      <c r="A465" t="s">
        <v>14</v>
      </c>
      <c r="B465" t="s">
        <v>15</v>
      </c>
      <c r="C465" t="s">
        <v>46</v>
      </c>
      <c r="D465" t="s">
        <v>295</v>
      </c>
      <c r="E465" t="s">
        <v>212</v>
      </c>
      <c r="F465">
        <v>147637.46</v>
      </c>
      <c r="G465">
        <v>145414.63</v>
      </c>
      <c r="H465" t="s">
        <v>296</v>
      </c>
      <c r="I465">
        <v>139184.20000000001</v>
      </c>
      <c r="J465" t="s">
        <v>36</v>
      </c>
      <c r="K465">
        <v>3</v>
      </c>
      <c r="L465">
        <v>1</v>
      </c>
      <c r="M465" t="s">
        <v>37</v>
      </c>
      <c r="N465" t="s">
        <v>73</v>
      </c>
    </row>
    <row r="466" spans="1:14" x14ac:dyDescent="0.25">
      <c r="A466" t="s">
        <v>21</v>
      </c>
      <c r="B466" t="s">
        <v>22</v>
      </c>
      <c r="C466" t="s">
        <v>16</v>
      </c>
      <c r="D466" t="s">
        <v>295</v>
      </c>
      <c r="E466" t="s">
        <v>214</v>
      </c>
      <c r="F466">
        <v>63074.6</v>
      </c>
      <c r="G466">
        <v>101158.7</v>
      </c>
      <c r="H466">
        <v>225618.44</v>
      </c>
      <c r="I466">
        <v>60904.89</v>
      </c>
      <c r="J466" t="s">
        <v>41</v>
      </c>
      <c r="K466">
        <v>2</v>
      </c>
      <c r="L466">
        <v>2</v>
      </c>
      <c r="M466" t="s">
        <v>20</v>
      </c>
    </row>
    <row r="467" spans="1:14" x14ac:dyDescent="0.25">
      <c r="A467" t="s">
        <v>27</v>
      </c>
      <c r="B467" t="s">
        <v>28</v>
      </c>
      <c r="C467" t="s">
        <v>29</v>
      </c>
      <c r="D467" t="s">
        <v>295</v>
      </c>
      <c r="E467" t="s">
        <v>205</v>
      </c>
      <c r="F467" t="s">
        <v>297</v>
      </c>
      <c r="G467">
        <v>94842.96</v>
      </c>
      <c r="H467">
        <v>276566.81</v>
      </c>
      <c r="I467">
        <v>70185.25</v>
      </c>
      <c r="J467" t="s">
        <v>104</v>
      </c>
      <c r="K467">
        <v>3</v>
      </c>
      <c r="L467">
        <v>8</v>
      </c>
      <c r="M467" t="s">
        <v>37</v>
      </c>
      <c r="N467" t="s">
        <v>125</v>
      </c>
    </row>
    <row r="468" spans="1:14" x14ac:dyDescent="0.25">
      <c r="A468" t="s">
        <v>32</v>
      </c>
      <c r="B468" t="s">
        <v>33</v>
      </c>
      <c r="C468" t="s">
        <v>118</v>
      </c>
      <c r="D468" t="s">
        <v>298</v>
      </c>
      <c r="E468" t="s">
        <v>205</v>
      </c>
      <c r="F468">
        <v>212772.62</v>
      </c>
      <c r="G468">
        <v>219032.54</v>
      </c>
      <c r="H468">
        <v>595120.92000000004</v>
      </c>
      <c r="I468">
        <v>157258.60999999999</v>
      </c>
      <c r="J468" t="s">
        <v>104</v>
      </c>
      <c r="K468">
        <v>6</v>
      </c>
      <c r="L468">
        <v>5</v>
      </c>
      <c r="M468" t="s">
        <v>42</v>
      </c>
      <c r="N468" t="s">
        <v>105</v>
      </c>
    </row>
    <row r="469" spans="1:14" x14ac:dyDescent="0.25">
      <c r="A469" t="s">
        <v>39</v>
      </c>
      <c r="B469" t="s">
        <v>40</v>
      </c>
      <c r="C469" t="s">
        <v>34</v>
      </c>
      <c r="D469" t="s">
        <v>295</v>
      </c>
      <c r="E469" t="s">
        <v>205</v>
      </c>
      <c r="F469">
        <v>196177.01</v>
      </c>
      <c r="G469">
        <v>195293.93</v>
      </c>
      <c r="H469">
        <v>703455.69</v>
      </c>
      <c r="I469">
        <v>184733.07</v>
      </c>
      <c r="J469" t="s">
        <v>53</v>
      </c>
      <c r="K469">
        <v>4</v>
      </c>
      <c r="L469">
        <v>1</v>
      </c>
      <c r="M469" t="s">
        <v>58</v>
      </c>
      <c r="N469" t="s">
        <v>65</v>
      </c>
    </row>
    <row r="470" spans="1:14" x14ac:dyDescent="0.25">
      <c r="A470" t="s">
        <v>44</v>
      </c>
      <c r="B470" t="s">
        <v>45</v>
      </c>
      <c r="C470" t="s">
        <v>118</v>
      </c>
      <c r="D470" t="s">
        <v>295</v>
      </c>
      <c r="E470" t="s">
        <v>205</v>
      </c>
      <c r="F470">
        <v>178904.53</v>
      </c>
      <c r="G470">
        <v>182453.45</v>
      </c>
      <c r="H470" t="s">
        <v>299</v>
      </c>
      <c r="I470">
        <v>152536.76999999999</v>
      </c>
      <c r="J470" t="s">
        <v>104</v>
      </c>
      <c r="K470">
        <v>2</v>
      </c>
      <c r="L470">
        <v>3</v>
      </c>
      <c r="M470" t="s">
        <v>58</v>
      </c>
      <c r="N470" t="s">
        <v>115</v>
      </c>
    </row>
    <row r="471" spans="1:14" x14ac:dyDescent="0.25">
      <c r="A471" t="s">
        <v>49</v>
      </c>
      <c r="B471" t="s">
        <v>50</v>
      </c>
      <c r="C471" t="s">
        <v>114</v>
      </c>
      <c r="D471" t="s">
        <v>300</v>
      </c>
      <c r="E471" t="s">
        <v>215</v>
      </c>
      <c r="F471">
        <v>43171.02</v>
      </c>
      <c r="G471">
        <v>75843.740000000005</v>
      </c>
      <c r="H471" t="s">
        <v>301</v>
      </c>
      <c r="I471">
        <v>46210.86</v>
      </c>
      <c r="J471" t="s">
        <v>19</v>
      </c>
      <c r="K471">
        <v>3</v>
      </c>
      <c r="L471">
        <v>7</v>
      </c>
      <c r="M471" t="s">
        <v>42</v>
      </c>
      <c r="N471" t="s">
        <v>81</v>
      </c>
    </row>
    <row r="472" spans="1:14" x14ac:dyDescent="0.25">
      <c r="A472" t="s">
        <v>55</v>
      </c>
      <c r="B472" t="s">
        <v>56</v>
      </c>
      <c r="C472" t="s">
        <v>76</v>
      </c>
      <c r="D472" t="s">
        <v>295</v>
      </c>
      <c r="E472" t="s">
        <v>205</v>
      </c>
      <c r="F472">
        <v>58323.49</v>
      </c>
      <c r="G472">
        <v>61182.38</v>
      </c>
      <c r="H472">
        <v>208638.8</v>
      </c>
      <c r="I472">
        <v>54980.22</v>
      </c>
      <c r="J472" t="s">
        <v>19</v>
      </c>
      <c r="K472">
        <v>3</v>
      </c>
      <c r="L472">
        <v>2</v>
      </c>
      <c r="M472" t="s">
        <v>30</v>
      </c>
    </row>
    <row r="473" spans="1:14" x14ac:dyDescent="0.25">
      <c r="A473" t="s">
        <v>59</v>
      </c>
      <c r="B473" t="s">
        <v>60</v>
      </c>
      <c r="C473" t="s">
        <v>70</v>
      </c>
      <c r="D473" t="s">
        <v>302</v>
      </c>
      <c r="E473" t="s">
        <v>205</v>
      </c>
      <c r="F473">
        <v>69082.58</v>
      </c>
      <c r="G473">
        <v>36603.03</v>
      </c>
      <c r="H473">
        <v>195242.12</v>
      </c>
      <c r="I473">
        <v>39138.28</v>
      </c>
      <c r="J473" t="s">
        <v>53</v>
      </c>
      <c r="K473">
        <v>5</v>
      </c>
      <c r="L473">
        <v>2</v>
      </c>
      <c r="M473" t="s">
        <v>37</v>
      </c>
      <c r="N473" t="s">
        <v>101</v>
      </c>
    </row>
    <row r="474" spans="1:14" x14ac:dyDescent="0.25">
      <c r="A474" t="s">
        <v>62</v>
      </c>
      <c r="B474" t="s">
        <v>63</v>
      </c>
      <c r="C474" t="s">
        <v>61</v>
      </c>
      <c r="D474" t="s">
        <v>295</v>
      </c>
      <c r="E474" t="s">
        <v>205</v>
      </c>
      <c r="F474">
        <v>39220.339999999997</v>
      </c>
      <c r="G474">
        <v>37468.75</v>
      </c>
      <c r="H474">
        <v>152027.42000000001</v>
      </c>
      <c r="I474">
        <v>50032.65</v>
      </c>
      <c r="J474" t="s">
        <v>41</v>
      </c>
      <c r="K474">
        <v>5</v>
      </c>
      <c r="L474">
        <v>7</v>
      </c>
      <c r="M474" t="s">
        <v>99</v>
      </c>
    </row>
    <row r="475" spans="1:14" x14ac:dyDescent="0.25">
      <c r="A475" t="s">
        <v>66</v>
      </c>
      <c r="B475" t="s">
        <v>67</v>
      </c>
      <c r="C475" t="s">
        <v>57</v>
      </c>
      <c r="D475" t="s">
        <v>295</v>
      </c>
      <c r="E475" t="s">
        <v>205</v>
      </c>
      <c r="F475">
        <v>88049.22</v>
      </c>
      <c r="G475">
        <v>85826.75</v>
      </c>
      <c r="H475">
        <v>394986.67</v>
      </c>
      <c r="I475">
        <v>120834.95</v>
      </c>
      <c r="J475" t="s">
        <v>36</v>
      </c>
      <c r="K475">
        <v>4</v>
      </c>
      <c r="L475">
        <v>1</v>
      </c>
      <c r="M475" t="s">
        <v>54</v>
      </c>
      <c r="N475" t="s">
        <v>101</v>
      </c>
    </row>
    <row r="476" spans="1:14" x14ac:dyDescent="0.25">
      <c r="A476" t="s">
        <v>68</v>
      </c>
      <c r="B476" t="s">
        <v>69</v>
      </c>
      <c r="C476" t="s">
        <v>114</v>
      </c>
      <c r="D476" t="s">
        <v>302</v>
      </c>
      <c r="E476" t="s">
        <v>205</v>
      </c>
      <c r="F476">
        <v>39600.18</v>
      </c>
      <c r="G476">
        <v>38259.199999999997</v>
      </c>
      <c r="H476">
        <v>186037.21</v>
      </c>
      <c r="I476">
        <v>47890.62</v>
      </c>
      <c r="J476" t="s">
        <v>36</v>
      </c>
      <c r="K476">
        <v>6</v>
      </c>
      <c r="L476">
        <v>1</v>
      </c>
      <c r="M476" t="s">
        <v>99</v>
      </c>
      <c r="N476" t="s">
        <v>115</v>
      </c>
    </row>
    <row r="477" spans="1:14" x14ac:dyDescent="0.25">
      <c r="A477" t="s">
        <v>74</v>
      </c>
      <c r="B477" t="s">
        <v>75</v>
      </c>
      <c r="C477" t="s">
        <v>57</v>
      </c>
      <c r="D477" t="s">
        <v>295</v>
      </c>
      <c r="E477" t="s">
        <v>205</v>
      </c>
      <c r="F477">
        <v>86522.76</v>
      </c>
      <c r="G477">
        <v>84215.27</v>
      </c>
      <c r="H477">
        <v>274803.83</v>
      </c>
      <c r="I477">
        <v>79476.08</v>
      </c>
      <c r="J477" t="s">
        <v>19</v>
      </c>
      <c r="K477">
        <v>2</v>
      </c>
      <c r="L477">
        <v>3</v>
      </c>
      <c r="M477" t="s">
        <v>92</v>
      </c>
    </row>
    <row r="478" spans="1:14" x14ac:dyDescent="0.25">
      <c r="A478" t="s">
        <v>78</v>
      </c>
      <c r="B478" t="s">
        <v>79</v>
      </c>
      <c r="C478" t="s">
        <v>126</v>
      </c>
      <c r="D478" t="s">
        <v>303</v>
      </c>
      <c r="E478" t="s">
        <v>212</v>
      </c>
      <c r="F478">
        <v>11607.51</v>
      </c>
      <c r="G478">
        <v>12532.25</v>
      </c>
      <c r="H478">
        <v>2474.54</v>
      </c>
      <c r="I478">
        <v>792.02</v>
      </c>
      <c r="J478" t="s">
        <v>19</v>
      </c>
      <c r="K478">
        <v>5</v>
      </c>
      <c r="L478">
        <v>6</v>
      </c>
      <c r="M478" t="s">
        <v>42</v>
      </c>
      <c r="N478" t="s">
        <v>38</v>
      </c>
    </row>
    <row r="479" spans="1:14" x14ac:dyDescent="0.25">
      <c r="A479" t="s">
        <v>82</v>
      </c>
      <c r="B479" t="s">
        <v>83</v>
      </c>
      <c r="C479" t="s">
        <v>89</v>
      </c>
      <c r="D479" t="s">
        <v>298</v>
      </c>
      <c r="E479" t="s">
        <v>205</v>
      </c>
      <c r="F479">
        <v>20336.2</v>
      </c>
      <c r="G479">
        <v>10117.030000000001</v>
      </c>
      <c r="H479">
        <v>62057.91</v>
      </c>
      <c r="I479">
        <v>17306.89</v>
      </c>
      <c r="J479" t="s">
        <v>53</v>
      </c>
      <c r="K479">
        <v>8</v>
      </c>
      <c r="L479">
        <v>9</v>
      </c>
      <c r="M479" t="s">
        <v>58</v>
      </c>
      <c r="N479" t="s">
        <v>125</v>
      </c>
    </row>
    <row r="480" spans="1:14" x14ac:dyDescent="0.25">
      <c r="A480" t="s">
        <v>84</v>
      </c>
      <c r="B480" t="s">
        <v>85</v>
      </c>
      <c r="C480" t="s">
        <v>137</v>
      </c>
      <c r="D480" t="s">
        <v>295</v>
      </c>
      <c r="E480" t="s">
        <v>205</v>
      </c>
      <c r="F480">
        <v>21244</v>
      </c>
      <c r="G480">
        <v>22219.01</v>
      </c>
      <c r="H480">
        <v>68089.36</v>
      </c>
      <c r="I480">
        <v>22503.06</v>
      </c>
      <c r="J480" t="s">
        <v>77</v>
      </c>
      <c r="K480">
        <v>8</v>
      </c>
      <c r="L480">
        <v>12</v>
      </c>
      <c r="M480" t="s">
        <v>92</v>
      </c>
      <c r="N480" t="s">
        <v>43</v>
      </c>
    </row>
    <row r="481" spans="1:14" x14ac:dyDescent="0.25">
      <c r="A481" t="s">
        <v>87</v>
      </c>
      <c r="B481" t="s">
        <v>88</v>
      </c>
      <c r="C481" t="s">
        <v>126</v>
      </c>
      <c r="D481" t="s">
        <v>295</v>
      </c>
      <c r="E481" t="s">
        <v>205</v>
      </c>
      <c r="F481">
        <v>29815.8</v>
      </c>
      <c r="G481">
        <v>30431.759999999998</v>
      </c>
      <c r="H481">
        <v>8103161</v>
      </c>
      <c r="I481">
        <v>18806.830000000002</v>
      </c>
      <c r="J481" t="s">
        <v>19</v>
      </c>
      <c r="K481">
        <v>12</v>
      </c>
      <c r="L481">
        <v>8</v>
      </c>
      <c r="M481" t="s">
        <v>92</v>
      </c>
      <c r="N481" t="s">
        <v>81</v>
      </c>
    </row>
    <row r="482" spans="1:14" x14ac:dyDescent="0.25">
      <c r="A482" t="s">
        <v>90</v>
      </c>
      <c r="B482" t="s">
        <v>91</v>
      </c>
      <c r="C482" t="s">
        <v>137</v>
      </c>
      <c r="D482" t="s">
        <v>303</v>
      </c>
      <c r="E482" t="s">
        <v>205</v>
      </c>
      <c r="F482">
        <v>10294.06</v>
      </c>
      <c r="G482">
        <v>9551.2999999999993</v>
      </c>
      <c r="H482">
        <v>40220.21</v>
      </c>
      <c r="I482">
        <v>8355.1299999999992</v>
      </c>
      <c r="J482" t="s">
        <v>77</v>
      </c>
      <c r="K482">
        <v>7</v>
      </c>
      <c r="L482">
        <v>14</v>
      </c>
      <c r="M482" t="s">
        <v>58</v>
      </c>
      <c r="N482" t="s">
        <v>65</v>
      </c>
    </row>
    <row r="483" spans="1:14" x14ac:dyDescent="0.25">
      <c r="A483" t="s">
        <v>93</v>
      </c>
      <c r="B483" t="s">
        <v>94</v>
      </c>
      <c r="C483" t="s">
        <v>137</v>
      </c>
      <c r="D483" t="s">
        <v>304</v>
      </c>
      <c r="E483" t="s">
        <v>205</v>
      </c>
      <c r="F483">
        <v>43810.74</v>
      </c>
      <c r="G483">
        <v>21833.66</v>
      </c>
      <c r="H483">
        <v>140944.21</v>
      </c>
      <c r="I483">
        <v>41768.949999999997</v>
      </c>
      <c r="J483" t="s">
        <v>77</v>
      </c>
      <c r="K483">
        <v>12</v>
      </c>
      <c r="L483">
        <v>12</v>
      </c>
      <c r="M483" t="s">
        <v>177</v>
      </c>
      <c r="N483" t="s">
        <v>81</v>
      </c>
    </row>
    <row r="484" spans="1:14" x14ac:dyDescent="0.25">
      <c r="A484" t="s">
        <v>96</v>
      </c>
      <c r="B484" t="s">
        <v>97</v>
      </c>
      <c r="C484" t="s">
        <v>126</v>
      </c>
      <c r="D484" t="s">
        <v>303</v>
      </c>
      <c r="E484" t="s">
        <v>205</v>
      </c>
      <c r="F484">
        <v>32929.629999999997</v>
      </c>
      <c r="G484">
        <v>35694.89</v>
      </c>
      <c r="H484">
        <v>132089.5</v>
      </c>
      <c r="I484">
        <v>35688.17</v>
      </c>
      <c r="J484" t="s">
        <v>36</v>
      </c>
      <c r="K484">
        <v>11</v>
      </c>
      <c r="L484">
        <v>2</v>
      </c>
      <c r="M484" t="s">
        <v>20</v>
      </c>
      <c r="N484" t="s">
        <v>31</v>
      </c>
    </row>
    <row r="485" spans="1:14" x14ac:dyDescent="0.25">
      <c r="A485" t="s">
        <v>14</v>
      </c>
      <c r="B485" t="s">
        <v>15</v>
      </c>
      <c r="C485" t="s">
        <v>16</v>
      </c>
      <c r="D485" t="s">
        <v>305</v>
      </c>
      <c r="E485" t="s">
        <v>306</v>
      </c>
      <c r="F485">
        <v>179582.94</v>
      </c>
      <c r="G485">
        <v>80890.570000000007</v>
      </c>
      <c r="H485">
        <v>798149.19</v>
      </c>
      <c r="I485">
        <v>163718.46</v>
      </c>
      <c r="J485" t="s">
        <v>41</v>
      </c>
      <c r="K485">
        <v>4</v>
      </c>
      <c r="L485">
        <v>3</v>
      </c>
      <c r="M485" t="s">
        <v>20</v>
      </c>
      <c r="N485" t="s">
        <v>38</v>
      </c>
    </row>
    <row r="486" spans="1:14" x14ac:dyDescent="0.25">
      <c r="A486" t="s">
        <v>21</v>
      </c>
      <c r="B486" t="s">
        <v>22</v>
      </c>
      <c r="C486" t="s">
        <v>46</v>
      </c>
      <c r="D486" t="s">
        <v>307</v>
      </c>
      <c r="E486" t="s">
        <v>306</v>
      </c>
      <c r="F486">
        <v>104837.3</v>
      </c>
      <c r="G486">
        <v>85089.69</v>
      </c>
      <c r="H486">
        <v>298320.11</v>
      </c>
      <c r="I486">
        <v>100436.28</v>
      </c>
      <c r="J486" t="s">
        <v>77</v>
      </c>
      <c r="K486">
        <v>4</v>
      </c>
      <c r="L486">
        <v>6</v>
      </c>
      <c r="M486" t="s">
        <v>20</v>
      </c>
      <c r="N486" t="s">
        <v>105</v>
      </c>
    </row>
    <row r="487" spans="1:14" x14ac:dyDescent="0.25">
      <c r="A487" t="s">
        <v>27</v>
      </c>
      <c r="B487" t="s">
        <v>28</v>
      </c>
      <c r="C487" t="s">
        <v>111</v>
      </c>
      <c r="D487" t="s">
        <v>305</v>
      </c>
      <c r="E487" t="s">
        <v>306</v>
      </c>
      <c r="F487">
        <v>112927.03</v>
      </c>
      <c r="G487">
        <v>73264.92</v>
      </c>
      <c r="H487">
        <v>384629.02</v>
      </c>
      <c r="I487">
        <v>77968.44</v>
      </c>
      <c r="J487" t="s">
        <v>41</v>
      </c>
      <c r="K487">
        <v>1</v>
      </c>
      <c r="L487">
        <v>1</v>
      </c>
      <c r="M487" t="s">
        <v>42</v>
      </c>
      <c r="N487" t="s">
        <v>101</v>
      </c>
    </row>
    <row r="488" spans="1:14" x14ac:dyDescent="0.25">
      <c r="A488" t="s">
        <v>32</v>
      </c>
      <c r="B488" t="s">
        <v>33</v>
      </c>
      <c r="C488" t="s">
        <v>16</v>
      </c>
      <c r="D488" t="s">
        <v>307</v>
      </c>
      <c r="E488" t="s">
        <v>308</v>
      </c>
      <c r="F488" t="s">
        <v>309</v>
      </c>
      <c r="G488">
        <v>56417.25</v>
      </c>
      <c r="H488">
        <v>21339.03</v>
      </c>
      <c r="I488">
        <v>5189.3599999999997</v>
      </c>
      <c r="J488" t="s">
        <v>104</v>
      </c>
      <c r="K488">
        <v>6</v>
      </c>
      <c r="L488">
        <v>3</v>
      </c>
      <c r="M488" t="s">
        <v>54</v>
      </c>
    </row>
    <row r="489" spans="1:14" x14ac:dyDescent="0.25">
      <c r="A489" t="s">
        <v>39</v>
      </c>
      <c r="B489" t="s">
        <v>40</v>
      </c>
      <c r="C489" t="s">
        <v>34</v>
      </c>
      <c r="D489" t="s">
        <v>305</v>
      </c>
      <c r="E489" t="s">
        <v>306</v>
      </c>
      <c r="F489">
        <v>138309.28</v>
      </c>
      <c r="G489">
        <v>75233.740000000005</v>
      </c>
      <c r="H489" t="s">
        <v>310</v>
      </c>
      <c r="I489">
        <v>139577.04</v>
      </c>
      <c r="J489" t="s">
        <v>77</v>
      </c>
      <c r="K489">
        <v>4</v>
      </c>
      <c r="L489">
        <v>3</v>
      </c>
      <c r="M489" t="s">
        <v>20</v>
      </c>
      <c r="N489" t="s">
        <v>125</v>
      </c>
    </row>
    <row r="490" spans="1:14" x14ac:dyDescent="0.25">
      <c r="A490" t="s">
        <v>49</v>
      </c>
      <c r="B490" t="s">
        <v>50</v>
      </c>
      <c r="C490" t="s">
        <v>76</v>
      </c>
      <c r="D490" t="s">
        <v>311</v>
      </c>
      <c r="E490" t="s">
        <v>306</v>
      </c>
      <c r="F490">
        <v>52712.27</v>
      </c>
      <c r="G490">
        <v>43602.41</v>
      </c>
      <c r="H490">
        <v>225259.65</v>
      </c>
      <c r="I490">
        <v>46551.28</v>
      </c>
      <c r="J490" t="s">
        <v>77</v>
      </c>
      <c r="K490">
        <v>1</v>
      </c>
      <c r="L490">
        <v>5</v>
      </c>
      <c r="M490" t="s">
        <v>58</v>
      </c>
      <c r="N490" t="s">
        <v>26</v>
      </c>
    </row>
    <row r="491" spans="1:14" x14ac:dyDescent="0.25">
      <c r="A491" t="s">
        <v>55</v>
      </c>
      <c r="B491" t="s">
        <v>56</v>
      </c>
      <c r="C491" t="s">
        <v>51</v>
      </c>
      <c r="D491" t="s">
        <v>312</v>
      </c>
      <c r="E491" t="s">
        <v>306</v>
      </c>
      <c r="F491">
        <v>582106</v>
      </c>
      <c r="G491">
        <v>33607.339999999997</v>
      </c>
      <c r="H491">
        <v>169208.69</v>
      </c>
      <c r="I491">
        <v>49058.68</v>
      </c>
      <c r="J491" t="s">
        <v>77</v>
      </c>
      <c r="K491">
        <v>2</v>
      </c>
      <c r="L491">
        <v>7</v>
      </c>
      <c r="M491" t="s">
        <v>30</v>
      </c>
      <c r="N491" t="s">
        <v>113</v>
      </c>
    </row>
    <row r="492" spans="1:14" x14ac:dyDescent="0.25">
      <c r="A492" t="s">
        <v>59</v>
      </c>
      <c r="B492" t="s">
        <v>60</v>
      </c>
      <c r="C492" t="s">
        <v>51</v>
      </c>
      <c r="D492" t="s">
        <v>313</v>
      </c>
      <c r="E492" t="s">
        <v>306</v>
      </c>
      <c r="F492">
        <v>66210.570000000007</v>
      </c>
      <c r="G492">
        <v>22160.51</v>
      </c>
      <c r="H492">
        <v>179602.68</v>
      </c>
      <c r="I492">
        <v>33698.61</v>
      </c>
      <c r="J492" t="s">
        <v>53</v>
      </c>
      <c r="K492">
        <v>4</v>
      </c>
      <c r="L492">
        <v>5</v>
      </c>
      <c r="M492" t="s">
        <v>42</v>
      </c>
      <c r="N492" t="s">
        <v>38</v>
      </c>
    </row>
    <row r="493" spans="1:14" x14ac:dyDescent="0.25">
      <c r="A493" t="s">
        <v>62</v>
      </c>
      <c r="B493" t="s">
        <v>63</v>
      </c>
      <c r="C493" t="s">
        <v>61</v>
      </c>
      <c r="D493" t="s">
        <v>305</v>
      </c>
      <c r="E493" t="s">
        <v>306</v>
      </c>
      <c r="F493">
        <v>88431.039999999994</v>
      </c>
      <c r="G493">
        <v>41516.25</v>
      </c>
      <c r="H493">
        <v>419276.16</v>
      </c>
      <c r="I493">
        <v>111263.36</v>
      </c>
      <c r="J493" t="s">
        <v>19</v>
      </c>
      <c r="K493">
        <v>2</v>
      </c>
      <c r="L493">
        <v>7</v>
      </c>
      <c r="M493" t="s">
        <v>20</v>
      </c>
      <c r="N493" t="s">
        <v>105</v>
      </c>
    </row>
    <row r="494" spans="1:14" x14ac:dyDescent="0.25">
      <c r="A494" t="s">
        <v>66</v>
      </c>
      <c r="B494" t="s">
        <v>67</v>
      </c>
      <c r="C494" t="s">
        <v>61</v>
      </c>
      <c r="D494" t="s">
        <v>305</v>
      </c>
      <c r="E494" t="s">
        <v>306</v>
      </c>
      <c r="F494">
        <v>78448.56</v>
      </c>
      <c r="G494">
        <v>47364.51</v>
      </c>
      <c r="H494">
        <v>390951.67</v>
      </c>
      <c r="I494">
        <v>136319.92000000001</v>
      </c>
      <c r="J494" t="s">
        <v>53</v>
      </c>
      <c r="K494">
        <v>5</v>
      </c>
      <c r="L494">
        <v>3</v>
      </c>
      <c r="M494" t="s">
        <v>42</v>
      </c>
      <c r="N494" t="s">
        <v>38</v>
      </c>
    </row>
    <row r="495" spans="1:14" x14ac:dyDescent="0.25">
      <c r="A495" t="s">
        <v>68</v>
      </c>
      <c r="B495" t="s">
        <v>69</v>
      </c>
      <c r="C495" t="s">
        <v>114</v>
      </c>
      <c r="D495" t="s">
        <v>305</v>
      </c>
      <c r="E495" t="s">
        <v>308</v>
      </c>
      <c r="F495">
        <v>89820.57</v>
      </c>
      <c r="G495">
        <v>57629.16</v>
      </c>
      <c r="H495">
        <v>18257.240000000002</v>
      </c>
      <c r="I495">
        <v>4247.04</v>
      </c>
      <c r="J495" t="s">
        <v>19</v>
      </c>
      <c r="K495">
        <v>1</v>
      </c>
      <c r="L495">
        <v>8</v>
      </c>
      <c r="M495" t="s">
        <v>20</v>
      </c>
      <c r="N495" t="s">
        <v>110</v>
      </c>
    </row>
    <row r="496" spans="1:14" x14ac:dyDescent="0.25">
      <c r="A496" t="s">
        <v>74</v>
      </c>
      <c r="B496" t="s">
        <v>75</v>
      </c>
      <c r="C496" t="s">
        <v>61</v>
      </c>
      <c r="D496" t="s">
        <v>305</v>
      </c>
      <c r="E496" t="s">
        <v>306</v>
      </c>
      <c r="F496">
        <v>58395.66</v>
      </c>
      <c r="G496">
        <v>36516.65</v>
      </c>
      <c r="H496">
        <v>283194.03999999998</v>
      </c>
      <c r="I496">
        <v>74481.17</v>
      </c>
      <c r="J496" t="s">
        <v>25</v>
      </c>
      <c r="K496">
        <v>3</v>
      </c>
      <c r="L496">
        <v>3</v>
      </c>
      <c r="M496" t="s">
        <v>20</v>
      </c>
    </row>
    <row r="497" spans="1:14" x14ac:dyDescent="0.25">
      <c r="A497" t="s">
        <v>78</v>
      </c>
      <c r="B497" t="s">
        <v>79</v>
      </c>
      <c r="C497" t="s">
        <v>86</v>
      </c>
      <c r="D497" t="s">
        <v>314</v>
      </c>
      <c r="E497" t="s">
        <v>306</v>
      </c>
      <c r="F497">
        <v>31690.03</v>
      </c>
      <c r="G497">
        <v>14530.99</v>
      </c>
      <c r="H497">
        <v>83745.56</v>
      </c>
      <c r="I497">
        <v>25036.3</v>
      </c>
      <c r="J497" t="s">
        <v>104</v>
      </c>
      <c r="K497">
        <v>10</v>
      </c>
      <c r="L497">
        <v>12</v>
      </c>
      <c r="M497" t="s">
        <v>30</v>
      </c>
      <c r="N497" t="s">
        <v>95</v>
      </c>
    </row>
    <row r="498" spans="1:14" x14ac:dyDescent="0.25">
      <c r="A498" t="s">
        <v>82</v>
      </c>
      <c r="B498" t="s">
        <v>83</v>
      </c>
      <c r="C498" t="s">
        <v>137</v>
      </c>
      <c r="D498" t="s">
        <v>312</v>
      </c>
      <c r="E498" t="s">
        <v>306</v>
      </c>
      <c r="F498">
        <v>34129.47</v>
      </c>
      <c r="G498">
        <v>11841.26</v>
      </c>
      <c r="H498">
        <v>94568.36</v>
      </c>
      <c r="I498">
        <v>23403.84</v>
      </c>
      <c r="J498" t="s">
        <v>25</v>
      </c>
      <c r="K498">
        <v>8</v>
      </c>
      <c r="L498">
        <v>13</v>
      </c>
      <c r="M498" t="s">
        <v>42</v>
      </c>
      <c r="N498" t="s">
        <v>115</v>
      </c>
    </row>
    <row r="499" spans="1:14" x14ac:dyDescent="0.25">
      <c r="A499" t="s">
        <v>84</v>
      </c>
      <c r="B499" t="s">
        <v>85</v>
      </c>
      <c r="C499" t="s">
        <v>126</v>
      </c>
      <c r="D499" t="s">
        <v>305</v>
      </c>
      <c r="E499" t="s">
        <v>306</v>
      </c>
      <c r="F499" t="s">
        <v>315</v>
      </c>
      <c r="G499">
        <v>16559.650000000001</v>
      </c>
      <c r="H499">
        <v>86657.99</v>
      </c>
      <c r="I499">
        <v>21200.74</v>
      </c>
      <c r="J499" t="s">
        <v>104</v>
      </c>
      <c r="K499">
        <v>7</v>
      </c>
      <c r="L499">
        <v>11</v>
      </c>
      <c r="M499" t="s">
        <v>130</v>
      </c>
      <c r="N499" t="s">
        <v>43</v>
      </c>
    </row>
    <row r="500" spans="1:14" x14ac:dyDescent="0.25">
      <c r="A500" t="s">
        <v>90</v>
      </c>
      <c r="B500" t="s">
        <v>91</v>
      </c>
      <c r="C500" t="s">
        <v>86</v>
      </c>
      <c r="D500" t="s">
        <v>313</v>
      </c>
      <c r="E500" t="s">
        <v>306</v>
      </c>
      <c r="F500">
        <v>16055.09</v>
      </c>
      <c r="G500">
        <v>10022.52</v>
      </c>
      <c r="H500">
        <v>48731.42</v>
      </c>
      <c r="I500">
        <v>10296.620000000001</v>
      </c>
      <c r="J500" t="s">
        <v>41</v>
      </c>
      <c r="K500">
        <v>2</v>
      </c>
      <c r="L500">
        <v>10</v>
      </c>
      <c r="M500" t="s">
        <v>20</v>
      </c>
      <c r="N500" t="s">
        <v>65</v>
      </c>
    </row>
    <row r="501" spans="1:14" x14ac:dyDescent="0.25">
      <c r="A501" t="s">
        <v>93</v>
      </c>
      <c r="B501" t="s">
        <v>94</v>
      </c>
      <c r="C501" t="s">
        <v>137</v>
      </c>
      <c r="D501" t="s">
        <v>305</v>
      </c>
      <c r="E501" t="s">
        <v>308</v>
      </c>
      <c r="F501">
        <v>34747.370000000003</v>
      </c>
      <c r="G501">
        <v>16201.66</v>
      </c>
      <c r="H501">
        <v>104117.01</v>
      </c>
      <c r="I501">
        <v>28980.26</v>
      </c>
      <c r="J501" t="s">
        <v>36</v>
      </c>
      <c r="K501">
        <v>4</v>
      </c>
      <c r="L501">
        <v>11</v>
      </c>
      <c r="M501" t="s">
        <v>42</v>
      </c>
    </row>
    <row r="502" spans="1:14" x14ac:dyDescent="0.25">
      <c r="A502" t="s">
        <v>96</v>
      </c>
      <c r="B502" t="s">
        <v>97</v>
      </c>
      <c r="C502" t="s">
        <v>116</v>
      </c>
      <c r="D502" t="s">
        <v>305</v>
      </c>
      <c r="E502" t="s">
        <v>306</v>
      </c>
      <c r="F502">
        <v>34682.44</v>
      </c>
      <c r="G502">
        <v>21553.52</v>
      </c>
      <c r="H502">
        <v>125665.64</v>
      </c>
      <c r="I502">
        <v>24701.57</v>
      </c>
      <c r="J502" t="s">
        <v>104</v>
      </c>
      <c r="K502">
        <v>5</v>
      </c>
      <c r="L502">
        <v>12</v>
      </c>
      <c r="M502" t="s">
        <v>58</v>
      </c>
      <c r="N502" t="s">
        <v>95</v>
      </c>
    </row>
    <row r="503" spans="1:14" x14ac:dyDescent="0.25">
      <c r="A503" t="s">
        <v>14</v>
      </c>
      <c r="B503" t="s">
        <v>15</v>
      </c>
      <c r="C503" t="s">
        <v>118</v>
      </c>
      <c r="D503" t="s">
        <v>316</v>
      </c>
      <c r="E503" t="s">
        <v>306</v>
      </c>
      <c r="F503">
        <v>82266.78</v>
      </c>
      <c r="G503">
        <v>45281.04</v>
      </c>
      <c r="H503">
        <v>349493.36</v>
      </c>
      <c r="I503">
        <v>90001.38</v>
      </c>
      <c r="J503" t="s">
        <v>77</v>
      </c>
      <c r="K503">
        <v>4</v>
      </c>
      <c r="L503">
        <v>2</v>
      </c>
      <c r="M503" t="s">
        <v>54</v>
      </c>
      <c r="N503" t="s">
        <v>65</v>
      </c>
    </row>
    <row r="504" spans="1:14" x14ac:dyDescent="0.25">
      <c r="A504" t="s">
        <v>21</v>
      </c>
      <c r="B504" t="s">
        <v>22</v>
      </c>
      <c r="C504" t="s">
        <v>16</v>
      </c>
      <c r="D504" t="s">
        <v>317</v>
      </c>
      <c r="E504" t="s">
        <v>318</v>
      </c>
      <c r="F504">
        <v>149974.20000000001</v>
      </c>
      <c r="G504">
        <v>100475.13</v>
      </c>
      <c r="H504">
        <v>748132.5</v>
      </c>
      <c r="I504">
        <v>147866.93</v>
      </c>
      <c r="J504" t="s">
        <v>104</v>
      </c>
      <c r="K504">
        <v>6</v>
      </c>
      <c r="L504">
        <v>2</v>
      </c>
      <c r="M504" t="s">
        <v>20</v>
      </c>
      <c r="N504" t="s">
        <v>73</v>
      </c>
    </row>
    <row r="505" spans="1:14" x14ac:dyDescent="0.25">
      <c r="A505" t="s">
        <v>27</v>
      </c>
      <c r="B505" t="s">
        <v>28</v>
      </c>
      <c r="C505" t="s">
        <v>16</v>
      </c>
      <c r="D505" t="s">
        <v>316</v>
      </c>
      <c r="E505" t="s">
        <v>318</v>
      </c>
      <c r="F505">
        <v>109661.96</v>
      </c>
      <c r="G505">
        <v>61445.52</v>
      </c>
      <c r="H505">
        <v>327768.69</v>
      </c>
      <c r="I505">
        <v>65932.28</v>
      </c>
      <c r="J505" t="s">
        <v>53</v>
      </c>
      <c r="K505">
        <v>4</v>
      </c>
      <c r="L505">
        <v>2</v>
      </c>
      <c r="M505" t="s">
        <v>20</v>
      </c>
      <c r="N505" t="s">
        <v>65</v>
      </c>
    </row>
    <row r="506" spans="1:14" x14ac:dyDescent="0.25">
      <c r="A506" t="s">
        <v>32</v>
      </c>
      <c r="B506" t="s">
        <v>33</v>
      </c>
      <c r="C506" t="s">
        <v>29</v>
      </c>
      <c r="D506" t="s">
        <v>319</v>
      </c>
      <c r="E506" t="s">
        <v>306</v>
      </c>
      <c r="F506">
        <v>80582.06</v>
      </c>
      <c r="G506">
        <v>36788.519999999997</v>
      </c>
      <c r="H506">
        <v>232353.4</v>
      </c>
      <c r="I506">
        <v>74083.600000000006</v>
      </c>
      <c r="J506" t="s">
        <v>53</v>
      </c>
      <c r="K506">
        <v>6</v>
      </c>
      <c r="L506">
        <v>1</v>
      </c>
      <c r="M506" t="s">
        <v>42</v>
      </c>
    </row>
    <row r="507" spans="1:14" x14ac:dyDescent="0.25">
      <c r="A507" t="s">
        <v>39</v>
      </c>
      <c r="B507" t="s">
        <v>40</v>
      </c>
      <c r="C507" t="s">
        <v>46</v>
      </c>
      <c r="D507" t="s">
        <v>320</v>
      </c>
      <c r="E507" t="s">
        <v>306</v>
      </c>
      <c r="F507">
        <v>211514.84</v>
      </c>
      <c r="G507">
        <v>125983.01</v>
      </c>
      <c r="H507">
        <v>1006901.26</v>
      </c>
      <c r="I507">
        <v>256113.66</v>
      </c>
      <c r="J507" t="s">
        <v>77</v>
      </c>
      <c r="K507">
        <v>1</v>
      </c>
      <c r="L507">
        <v>7</v>
      </c>
      <c r="M507" t="s">
        <v>58</v>
      </c>
      <c r="N507" t="s">
        <v>125</v>
      </c>
    </row>
    <row r="508" spans="1:14" x14ac:dyDescent="0.25">
      <c r="A508" t="s">
        <v>44</v>
      </c>
      <c r="B508" t="s">
        <v>45</v>
      </c>
      <c r="C508" t="s">
        <v>34</v>
      </c>
      <c r="D508" t="s">
        <v>320</v>
      </c>
      <c r="E508" t="s">
        <v>321</v>
      </c>
      <c r="F508">
        <v>108526.76</v>
      </c>
      <c r="G508">
        <v>58331.42</v>
      </c>
      <c r="H508">
        <v>278864.49</v>
      </c>
      <c r="I508">
        <v>93838.19</v>
      </c>
      <c r="J508" t="s">
        <v>53</v>
      </c>
      <c r="K508">
        <v>1</v>
      </c>
      <c r="L508">
        <v>3</v>
      </c>
      <c r="M508" t="s">
        <v>30</v>
      </c>
      <c r="N508" t="s">
        <v>105</v>
      </c>
    </row>
    <row r="509" spans="1:14" x14ac:dyDescent="0.25">
      <c r="A509" t="s">
        <v>49</v>
      </c>
      <c r="B509" t="s">
        <v>50</v>
      </c>
      <c r="C509" t="s">
        <v>61</v>
      </c>
      <c r="D509" t="s">
        <v>320</v>
      </c>
      <c r="E509" t="s">
        <v>306</v>
      </c>
      <c r="F509">
        <v>60697.84</v>
      </c>
      <c r="G509">
        <v>36103.32</v>
      </c>
      <c r="H509">
        <v>293622.15000000002</v>
      </c>
      <c r="I509">
        <v>84717.54</v>
      </c>
      <c r="J509" t="s">
        <v>36</v>
      </c>
      <c r="K509">
        <v>5</v>
      </c>
      <c r="L509">
        <v>2</v>
      </c>
      <c r="M509" t="s">
        <v>30</v>
      </c>
      <c r="N509" t="s">
        <v>101</v>
      </c>
    </row>
    <row r="510" spans="1:14" x14ac:dyDescent="0.25">
      <c r="A510" t="s">
        <v>55</v>
      </c>
      <c r="B510" t="s">
        <v>56</v>
      </c>
      <c r="C510" t="s">
        <v>70</v>
      </c>
      <c r="D510" t="s">
        <v>320</v>
      </c>
      <c r="E510" t="s">
        <v>306</v>
      </c>
      <c r="F510">
        <v>59462.22</v>
      </c>
      <c r="G510">
        <v>27633</v>
      </c>
      <c r="H510">
        <v>179917.21</v>
      </c>
      <c r="I510">
        <v>59597.81</v>
      </c>
      <c r="J510" t="s">
        <v>104</v>
      </c>
      <c r="K510">
        <v>6</v>
      </c>
      <c r="L510">
        <v>2</v>
      </c>
      <c r="M510" t="s">
        <v>177</v>
      </c>
      <c r="N510" t="s">
        <v>81</v>
      </c>
    </row>
    <row r="511" spans="1:14" x14ac:dyDescent="0.25">
      <c r="A511" t="s">
        <v>59</v>
      </c>
      <c r="B511" t="s">
        <v>60</v>
      </c>
      <c r="C511" t="s">
        <v>70</v>
      </c>
      <c r="D511" t="s">
        <v>316</v>
      </c>
      <c r="E511" t="s">
        <v>306</v>
      </c>
      <c r="F511">
        <v>79971.199999999997</v>
      </c>
      <c r="G511">
        <v>28435.68</v>
      </c>
      <c r="H511">
        <v>385177.92</v>
      </c>
      <c r="I511">
        <v>71267.31</v>
      </c>
      <c r="J511" t="s">
        <v>41</v>
      </c>
      <c r="K511">
        <v>1</v>
      </c>
      <c r="L511">
        <v>5</v>
      </c>
      <c r="M511" t="s">
        <v>58</v>
      </c>
      <c r="N511" t="s">
        <v>31</v>
      </c>
    </row>
    <row r="512" spans="1:14" x14ac:dyDescent="0.25">
      <c r="A512" t="s">
        <v>62</v>
      </c>
      <c r="B512" t="s">
        <v>63</v>
      </c>
      <c r="C512" t="s">
        <v>70</v>
      </c>
      <c r="D512" t="s">
        <v>322</v>
      </c>
      <c r="E512" t="s">
        <v>306</v>
      </c>
      <c r="F512">
        <v>41954.25</v>
      </c>
      <c r="G512">
        <v>24820.84</v>
      </c>
      <c r="H512">
        <v>153871.81</v>
      </c>
      <c r="I512">
        <v>39103.53</v>
      </c>
      <c r="J512" t="s">
        <v>53</v>
      </c>
      <c r="K512">
        <v>4</v>
      </c>
      <c r="L512">
        <v>5</v>
      </c>
      <c r="M512" t="s">
        <v>99</v>
      </c>
    </row>
    <row r="513" spans="1:14" x14ac:dyDescent="0.25">
      <c r="A513" t="s">
        <v>66</v>
      </c>
      <c r="B513" t="s">
        <v>67</v>
      </c>
      <c r="C513" t="s">
        <v>61</v>
      </c>
      <c r="D513" t="s">
        <v>322</v>
      </c>
      <c r="E513" t="s">
        <v>306</v>
      </c>
      <c r="F513">
        <v>77645.97</v>
      </c>
      <c r="G513">
        <v>42516.32</v>
      </c>
      <c r="H513">
        <v>276368.67</v>
      </c>
      <c r="I513">
        <v>88079.16</v>
      </c>
      <c r="J513" t="s">
        <v>104</v>
      </c>
      <c r="K513">
        <v>5</v>
      </c>
      <c r="L513">
        <v>8</v>
      </c>
      <c r="M513" t="s">
        <v>20</v>
      </c>
    </row>
    <row r="514" spans="1:14" x14ac:dyDescent="0.25">
      <c r="A514" t="s">
        <v>68</v>
      </c>
      <c r="B514" t="s">
        <v>69</v>
      </c>
      <c r="C514" t="s">
        <v>70</v>
      </c>
      <c r="D514" t="s">
        <v>320</v>
      </c>
      <c r="E514" t="s">
        <v>306</v>
      </c>
      <c r="F514">
        <v>54588.5</v>
      </c>
      <c r="G514">
        <v>34142.400000000001</v>
      </c>
      <c r="H514">
        <v>1908208</v>
      </c>
      <c r="I514">
        <v>60595.13</v>
      </c>
      <c r="J514" t="s">
        <v>19</v>
      </c>
      <c r="K514">
        <v>4</v>
      </c>
      <c r="L514">
        <v>6</v>
      </c>
      <c r="M514" t="s">
        <v>99</v>
      </c>
      <c r="N514" t="s">
        <v>81</v>
      </c>
    </row>
    <row r="515" spans="1:14" x14ac:dyDescent="0.25">
      <c r="A515" t="s">
        <v>74</v>
      </c>
      <c r="B515" t="s">
        <v>75</v>
      </c>
      <c r="C515" t="s">
        <v>76</v>
      </c>
      <c r="D515" t="s">
        <v>320</v>
      </c>
      <c r="E515" t="s">
        <v>306</v>
      </c>
      <c r="F515">
        <v>64048.160000000003</v>
      </c>
      <c r="G515">
        <v>31801.81</v>
      </c>
      <c r="H515">
        <v>221861.35</v>
      </c>
      <c r="I515">
        <v>59821.5</v>
      </c>
      <c r="J515" t="s">
        <v>41</v>
      </c>
      <c r="K515">
        <v>1</v>
      </c>
      <c r="L515">
        <v>2</v>
      </c>
      <c r="M515" t="s">
        <v>54</v>
      </c>
      <c r="N515" t="s">
        <v>101</v>
      </c>
    </row>
    <row r="516" spans="1:14" x14ac:dyDescent="0.25">
      <c r="A516" t="s">
        <v>82</v>
      </c>
      <c r="B516" t="s">
        <v>83</v>
      </c>
      <c r="C516" t="s">
        <v>137</v>
      </c>
      <c r="D516" t="s">
        <v>317</v>
      </c>
      <c r="E516" t="s">
        <v>306</v>
      </c>
      <c r="F516">
        <v>12152.87</v>
      </c>
      <c r="G516">
        <v>5007.38</v>
      </c>
      <c r="H516">
        <v>40313.33</v>
      </c>
      <c r="I516">
        <v>11206.72</v>
      </c>
      <c r="J516" t="s">
        <v>104</v>
      </c>
      <c r="K516">
        <v>6</v>
      </c>
      <c r="L516">
        <v>11</v>
      </c>
      <c r="M516" t="s">
        <v>54</v>
      </c>
      <c r="N516" t="s">
        <v>81</v>
      </c>
    </row>
    <row r="517" spans="1:14" x14ac:dyDescent="0.25">
      <c r="A517" t="s">
        <v>84</v>
      </c>
      <c r="B517" t="s">
        <v>85</v>
      </c>
      <c r="C517" t="s">
        <v>116</v>
      </c>
      <c r="D517" t="s">
        <v>320</v>
      </c>
      <c r="E517" t="s">
        <v>306</v>
      </c>
      <c r="F517">
        <v>9875.26</v>
      </c>
      <c r="G517">
        <v>6028.87</v>
      </c>
      <c r="H517">
        <v>32119.24</v>
      </c>
      <c r="I517">
        <v>7669.76</v>
      </c>
      <c r="J517" t="s">
        <v>104</v>
      </c>
      <c r="K517">
        <v>3</v>
      </c>
      <c r="L517">
        <v>13</v>
      </c>
      <c r="M517" t="s">
        <v>99</v>
      </c>
      <c r="N517" t="s">
        <v>95</v>
      </c>
    </row>
    <row r="518" spans="1:14" x14ac:dyDescent="0.25">
      <c r="A518" t="s">
        <v>87</v>
      </c>
      <c r="B518" t="s">
        <v>88</v>
      </c>
      <c r="C518" t="s">
        <v>126</v>
      </c>
      <c r="D518" t="s">
        <v>316</v>
      </c>
      <c r="E518" t="s">
        <v>318</v>
      </c>
      <c r="F518">
        <v>10774.08</v>
      </c>
      <c r="G518">
        <v>6627.04</v>
      </c>
      <c r="H518">
        <v>29767.040000000001</v>
      </c>
      <c r="I518">
        <v>8837.59</v>
      </c>
      <c r="J518" t="s">
        <v>53</v>
      </c>
      <c r="K518">
        <v>8</v>
      </c>
      <c r="L518">
        <v>4</v>
      </c>
      <c r="M518" t="s">
        <v>30</v>
      </c>
      <c r="N518" t="s">
        <v>115</v>
      </c>
    </row>
    <row r="519" spans="1:14" x14ac:dyDescent="0.25">
      <c r="A519" t="s">
        <v>90</v>
      </c>
      <c r="B519" t="s">
        <v>91</v>
      </c>
      <c r="C519" t="s">
        <v>126</v>
      </c>
      <c r="D519" t="s">
        <v>316</v>
      </c>
      <c r="E519" t="s">
        <v>318</v>
      </c>
      <c r="F519">
        <v>33572.910000000003</v>
      </c>
      <c r="G519">
        <v>17319.12</v>
      </c>
      <c r="H519">
        <v>150375.41</v>
      </c>
      <c r="I519">
        <v>44928.11</v>
      </c>
      <c r="J519" t="s">
        <v>104</v>
      </c>
      <c r="K519">
        <v>4</v>
      </c>
      <c r="L519">
        <v>11</v>
      </c>
      <c r="M519" t="s">
        <v>30</v>
      </c>
    </row>
    <row r="520" spans="1:14" x14ac:dyDescent="0.25">
      <c r="A520" t="s">
        <v>93</v>
      </c>
      <c r="B520" t="s">
        <v>94</v>
      </c>
      <c r="C520" t="s">
        <v>89</v>
      </c>
      <c r="D520" t="s">
        <v>322</v>
      </c>
      <c r="E520" t="s">
        <v>306</v>
      </c>
      <c r="F520">
        <v>32988.22</v>
      </c>
      <c r="G520">
        <v>12140.91</v>
      </c>
      <c r="H520">
        <v>122279.61</v>
      </c>
      <c r="I520">
        <v>37937.78</v>
      </c>
      <c r="J520" t="s">
        <v>25</v>
      </c>
      <c r="K520">
        <v>3</v>
      </c>
      <c r="L520">
        <v>13</v>
      </c>
      <c r="M520" t="s">
        <v>58</v>
      </c>
      <c r="N520" t="s">
        <v>38</v>
      </c>
    </row>
    <row r="521" spans="1:14" x14ac:dyDescent="0.25">
      <c r="A521" t="s">
        <v>96</v>
      </c>
      <c r="B521" t="s">
        <v>97</v>
      </c>
      <c r="C521" t="s">
        <v>137</v>
      </c>
      <c r="D521" t="s">
        <v>320</v>
      </c>
      <c r="E521" t="s">
        <v>306</v>
      </c>
      <c r="F521">
        <v>10822.44</v>
      </c>
      <c r="G521">
        <v>6148.28</v>
      </c>
      <c r="H521">
        <v>40960.959999999999</v>
      </c>
      <c r="I521">
        <v>13949.04</v>
      </c>
      <c r="J521" t="s">
        <v>53</v>
      </c>
      <c r="K521">
        <v>9</v>
      </c>
      <c r="L521">
        <v>10</v>
      </c>
      <c r="M521" t="s">
        <v>54</v>
      </c>
      <c r="N521" t="s">
        <v>38</v>
      </c>
    </row>
    <row r="522" spans="1:14" x14ac:dyDescent="0.25">
      <c r="A522" t="s">
        <v>14</v>
      </c>
      <c r="B522" t="s">
        <v>15</v>
      </c>
      <c r="C522" t="s">
        <v>29</v>
      </c>
      <c r="D522" t="s">
        <v>323</v>
      </c>
      <c r="E522" t="s">
        <v>306</v>
      </c>
      <c r="F522">
        <v>118897.38</v>
      </c>
      <c r="G522">
        <v>60807.61</v>
      </c>
      <c r="H522">
        <v>341024.36</v>
      </c>
      <c r="I522">
        <v>104576.63</v>
      </c>
      <c r="J522" t="s">
        <v>104</v>
      </c>
      <c r="K522">
        <v>2</v>
      </c>
      <c r="L522">
        <v>2</v>
      </c>
      <c r="M522" t="s">
        <v>20</v>
      </c>
      <c r="N522" t="s">
        <v>95</v>
      </c>
    </row>
    <row r="523" spans="1:14" x14ac:dyDescent="0.25">
      <c r="A523" t="s">
        <v>21</v>
      </c>
      <c r="B523" t="s">
        <v>22</v>
      </c>
      <c r="C523" t="s">
        <v>29</v>
      </c>
      <c r="D523" t="s">
        <v>323</v>
      </c>
      <c r="E523" t="s">
        <v>306</v>
      </c>
      <c r="F523">
        <v>75734.98</v>
      </c>
      <c r="G523">
        <v>46563.76</v>
      </c>
      <c r="H523">
        <v>9580.82</v>
      </c>
      <c r="I523">
        <v>3236.05</v>
      </c>
      <c r="J523" t="s">
        <v>104</v>
      </c>
      <c r="K523">
        <v>2</v>
      </c>
      <c r="L523">
        <v>5</v>
      </c>
      <c r="M523" t="s">
        <v>20</v>
      </c>
      <c r="N523" t="s">
        <v>105</v>
      </c>
    </row>
    <row r="524" spans="1:14" x14ac:dyDescent="0.25">
      <c r="A524" t="s">
        <v>27</v>
      </c>
      <c r="B524" t="s">
        <v>28</v>
      </c>
      <c r="C524" t="s">
        <v>29</v>
      </c>
      <c r="D524" t="s">
        <v>323</v>
      </c>
      <c r="E524" t="s">
        <v>306</v>
      </c>
      <c r="F524">
        <v>205308.18</v>
      </c>
      <c r="G524">
        <v>102192.85</v>
      </c>
      <c r="H524">
        <v>654655.67000000004</v>
      </c>
      <c r="I524">
        <v>195687.77</v>
      </c>
      <c r="J524" t="s">
        <v>36</v>
      </c>
      <c r="K524">
        <v>4</v>
      </c>
      <c r="L524">
        <v>2</v>
      </c>
      <c r="M524" t="s">
        <v>30</v>
      </c>
      <c r="N524" t="s">
        <v>113</v>
      </c>
    </row>
    <row r="525" spans="1:14" x14ac:dyDescent="0.25">
      <c r="A525" t="s">
        <v>32</v>
      </c>
      <c r="B525" t="s">
        <v>33</v>
      </c>
      <c r="C525" t="s">
        <v>111</v>
      </c>
      <c r="D525" t="s">
        <v>324</v>
      </c>
      <c r="E525" t="s">
        <v>306</v>
      </c>
      <c r="F525" t="s">
        <v>325</v>
      </c>
      <c r="G525">
        <v>82050.13</v>
      </c>
      <c r="H525">
        <v>6916812</v>
      </c>
      <c r="I525">
        <v>145591.66</v>
      </c>
      <c r="J525" t="s">
        <v>41</v>
      </c>
      <c r="K525">
        <v>6</v>
      </c>
      <c r="L525">
        <v>5</v>
      </c>
      <c r="M525" t="s">
        <v>58</v>
      </c>
      <c r="N525" t="s">
        <v>113</v>
      </c>
    </row>
    <row r="526" spans="1:14" x14ac:dyDescent="0.25">
      <c r="A526" t="s">
        <v>39</v>
      </c>
      <c r="B526" t="s">
        <v>40</v>
      </c>
      <c r="C526" t="s">
        <v>46</v>
      </c>
      <c r="D526" t="s">
        <v>326</v>
      </c>
      <c r="E526" t="s">
        <v>306</v>
      </c>
      <c r="F526">
        <v>215735.81</v>
      </c>
      <c r="G526">
        <v>118150.19</v>
      </c>
      <c r="H526">
        <v>11537.16</v>
      </c>
      <c r="I526">
        <v>3410.47</v>
      </c>
      <c r="J526" t="s">
        <v>36</v>
      </c>
      <c r="K526">
        <v>3</v>
      </c>
      <c r="L526">
        <v>4</v>
      </c>
      <c r="M526" t="s">
        <v>54</v>
      </c>
    </row>
    <row r="527" spans="1:14" x14ac:dyDescent="0.25">
      <c r="A527" t="s">
        <v>44</v>
      </c>
      <c r="B527" t="s">
        <v>45</v>
      </c>
      <c r="C527" t="s">
        <v>118</v>
      </c>
      <c r="D527" t="s">
        <v>326</v>
      </c>
      <c r="E527" t="s">
        <v>306</v>
      </c>
      <c r="F527">
        <v>148109.06</v>
      </c>
      <c r="G527">
        <v>67050.78</v>
      </c>
      <c r="H527">
        <v>481774.36</v>
      </c>
      <c r="I527">
        <v>129130.6</v>
      </c>
      <c r="J527" t="s">
        <v>41</v>
      </c>
      <c r="K527">
        <v>6</v>
      </c>
      <c r="L527">
        <v>6</v>
      </c>
      <c r="M527" t="s">
        <v>54</v>
      </c>
      <c r="N527" t="s">
        <v>43</v>
      </c>
    </row>
    <row r="528" spans="1:14" x14ac:dyDescent="0.25">
      <c r="A528" t="s">
        <v>49</v>
      </c>
      <c r="B528" t="s">
        <v>50</v>
      </c>
      <c r="C528" t="s">
        <v>76</v>
      </c>
      <c r="D528" t="s">
        <v>324</v>
      </c>
      <c r="E528" t="s">
        <v>318</v>
      </c>
      <c r="F528">
        <v>23266.98</v>
      </c>
      <c r="G528">
        <v>17078.48</v>
      </c>
      <c r="H528">
        <v>101465.29</v>
      </c>
      <c r="I528">
        <v>34733.440000000002</v>
      </c>
      <c r="J528" t="s">
        <v>77</v>
      </c>
      <c r="K528">
        <v>6</v>
      </c>
      <c r="L528">
        <v>4</v>
      </c>
      <c r="M528" t="s">
        <v>42</v>
      </c>
      <c r="N528" t="s">
        <v>65</v>
      </c>
    </row>
    <row r="529" spans="1:14" x14ac:dyDescent="0.25">
      <c r="A529" t="s">
        <v>55</v>
      </c>
      <c r="B529" t="s">
        <v>56</v>
      </c>
      <c r="C529" t="s">
        <v>114</v>
      </c>
      <c r="D529" t="s">
        <v>323</v>
      </c>
      <c r="E529" t="s">
        <v>306</v>
      </c>
      <c r="F529" t="s">
        <v>327</v>
      </c>
      <c r="G529">
        <v>26356.85</v>
      </c>
      <c r="H529">
        <v>213565.56</v>
      </c>
      <c r="I529">
        <v>67317.27</v>
      </c>
      <c r="J529" t="s">
        <v>36</v>
      </c>
      <c r="K529">
        <v>5</v>
      </c>
      <c r="L529">
        <v>6</v>
      </c>
      <c r="M529" t="s">
        <v>177</v>
      </c>
    </row>
    <row r="530" spans="1:14" x14ac:dyDescent="0.25">
      <c r="A530" t="s">
        <v>59</v>
      </c>
      <c r="B530" t="s">
        <v>60</v>
      </c>
      <c r="C530" t="s">
        <v>61</v>
      </c>
      <c r="D530" t="s">
        <v>328</v>
      </c>
      <c r="E530" t="s">
        <v>306</v>
      </c>
      <c r="F530" t="s">
        <v>329</v>
      </c>
      <c r="G530">
        <v>20233.84</v>
      </c>
      <c r="H530">
        <v>135168.34</v>
      </c>
      <c r="I530">
        <v>37958.269999999997</v>
      </c>
      <c r="J530" t="s">
        <v>53</v>
      </c>
      <c r="K530">
        <v>1</v>
      </c>
      <c r="L530">
        <v>8</v>
      </c>
      <c r="M530" t="s">
        <v>30</v>
      </c>
    </row>
    <row r="531" spans="1:14" x14ac:dyDescent="0.25">
      <c r="A531" t="s">
        <v>62</v>
      </c>
      <c r="B531" t="s">
        <v>63</v>
      </c>
      <c r="C531" t="s">
        <v>61</v>
      </c>
      <c r="D531" t="s">
        <v>328</v>
      </c>
      <c r="E531" t="s">
        <v>306</v>
      </c>
      <c r="F531">
        <v>76133.119999999995</v>
      </c>
      <c r="G531">
        <v>35569.449999999997</v>
      </c>
      <c r="H531">
        <v>217482.69</v>
      </c>
      <c r="I531">
        <v>55120.69</v>
      </c>
      <c r="J531" t="s">
        <v>36</v>
      </c>
      <c r="K531">
        <v>1</v>
      </c>
      <c r="L531">
        <v>5</v>
      </c>
      <c r="M531" t="s">
        <v>30</v>
      </c>
      <c r="N531" t="s">
        <v>73</v>
      </c>
    </row>
    <row r="532" spans="1:14" x14ac:dyDescent="0.25">
      <c r="A532" t="s">
        <v>66</v>
      </c>
      <c r="B532" t="s">
        <v>67</v>
      </c>
      <c r="C532" t="s">
        <v>51</v>
      </c>
      <c r="D532" t="s">
        <v>323</v>
      </c>
      <c r="E532" t="s">
        <v>306</v>
      </c>
      <c r="F532">
        <v>40398.120000000003</v>
      </c>
      <c r="G532">
        <v>25256.36</v>
      </c>
      <c r="H532">
        <v>170007.52</v>
      </c>
      <c r="I532">
        <v>34522.99</v>
      </c>
      <c r="J532" t="s">
        <v>25</v>
      </c>
      <c r="K532">
        <v>5</v>
      </c>
      <c r="L532">
        <v>3</v>
      </c>
      <c r="M532" t="s">
        <v>42</v>
      </c>
      <c r="N532" t="s">
        <v>127</v>
      </c>
    </row>
    <row r="533" spans="1:14" x14ac:dyDescent="0.25">
      <c r="A533" t="s">
        <v>68</v>
      </c>
      <c r="B533" t="s">
        <v>69</v>
      </c>
      <c r="C533" t="s">
        <v>51</v>
      </c>
      <c r="D533" t="s">
        <v>330</v>
      </c>
      <c r="E533" t="s">
        <v>306</v>
      </c>
      <c r="F533">
        <v>56514.080000000002</v>
      </c>
      <c r="G533">
        <v>35998.11</v>
      </c>
      <c r="H533">
        <v>207460.2</v>
      </c>
      <c r="I533">
        <v>52173.33</v>
      </c>
      <c r="J533" t="s">
        <v>36</v>
      </c>
      <c r="K533">
        <v>4</v>
      </c>
      <c r="L533">
        <v>6</v>
      </c>
      <c r="M533" t="s">
        <v>54</v>
      </c>
      <c r="N533" t="s">
        <v>43</v>
      </c>
    </row>
    <row r="534" spans="1:14" x14ac:dyDescent="0.25">
      <c r="A534" t="s">
        <v>74</v>
      </c>
      <c r="B534" t="s">
        <v>75</v>
      </c>
      <c r="C534" t="s">
        <v>51</v>
      </c>
      <c r="D534" t="s">
        <v>326</v>
      </c>
      <c r="E534" t="s">
        <v>306</v>
      </c>
      <c r="F534">
        <v>83994.74</v>
      </c>
      <c r="G534">
        <v>38696.980000000003</v>
      </c>
      <c r="H534">
        <v>236431.73</v>
      </c>
      <c r="I534">
        <v>61159.53</v>
      </c>
      <c r="J534" t="s">
        <v>77</v>
      </c>
      <c r="K534">
        <v>5</v>
      </c>
      <c r="L534">
        <v>7</v>
      </c>
      <c r="M534" t="s">
        <v>30</v>
      </c>
    </row>
    <row r="535" spans="1:14" x14ac:dyDescent="0.25">
      <c r="A535" t="s">
        <v>78</v>
      </c>
      <c r="B535" t="s">
        <v>79</v>
      </c>
      <c r="C535" t="s">
        <v>86</v>
      </c>
      <c r="D535" t="s">
        <v>323</v>
      </c>
      <c r="E535" t="s">
        <v>306</v>
      </c>
      <c r="F535">
        <v>31336.48</v>
      </c>
      <c r="G535">
        <v>17765.39</v>
      </c>
      <c r="H535">
        <v>2852.02</v>
      </c>
      <c r="I535">
        <v>583.26</v>
      </c>
      <c r="J535" t="s">
        <v>41</v>
      </c>
      <c r="K535">
        <v>9</v>
      </c>
      <c r="L535">
        <v>10</v>
      </c>
      <c r="M535" t="s">
        <v>58</v>
      </c>
    </row>
    <row r="536" spans="1:14" x14ac:dyDescent="0.25">
      <c r="A536" t="s">
        <v>82</v>
      </c>
      <c r="B536" t="s">
        <v>83</v>
      </c>
      <c r="C536" t="s">
        <v>86</v>
      </c>
      <c r="D536" t="s">
        <v>324</v>
      </c>
      <c r="E536" t="s">
        <v>318</v>
      </c>
      <c r="F536">
        <v>28874.07</v>
      </c>
      <c r="G536">
        <v>10024.51</v>
      </c>
      <c r="H536" t="s">
        <v>331</v>
      </c>
      <c r="I536">
        <v>534.15</v>
      </c>
      <c r="J536" t="s">
        <v>53</v>
      </c>
      <c r="K536">
        <v>4</v>
      </c>
      <c r="L536">
        <v>10</v>
      </c>
      <c r="M536" t="s">
        <v>54</v>
      </c>
      <c r="N536" t="s">
        <v>105</v>
      </c>
    </row>
    <row r="537" spans="1:14" x14ac:dyDescent="0.25">
      <c r="A537" t="s">
        <v>84</v>
      </c>
      <c r="B537" t="s">
        <v>85</v>
      </c>
      <c r="C537" t="s">
        <v>116</v>
      </c>
      <c r="D537" t="s">
        <v>326</v>
      </c>
      <c r="E537" t="s">
        <v>306</v>
      </c>
      <c r="F537">
        <v>28024.95</v>
      </c>
      <c r="G537">
        <v>15280.09</v>
      </c>
      <c r="H537">
        <v>90341.85</v>
      </c>
      <c r="I537">
        <v>25303.84</v>
      </c>
      <c r="J537" t="s">
        <v>25</v>
      </c>
      <c r="K537">
        <v>7</v>
      </c>
      <c r="L537">
        <v>6</v>
      </c>
      <c r="M537" t="s">
        <v>130</v>
      </c>
      <c r="N537" t="s">
        <v>113</v>
      </c>
    </row>
    <row r="538" spans="1:14" x14ac:dyDescent="0.25">
      <c r="A538" t="s">
        <v>87</v>
      </c>
      <c r="B538" t="s">
        <v>88</v>
      </c>
      <c r="C538" t="s">
        <v>86</v>
      </c>
      <c r="D538" t="s">
        <v>326</v>
      </c>
      <c r="E538" t="s">
        <v>321</v>
      </c>
      <c r="F538">
        <v>8920.26</v>
      </c>
      <c r="G538">
        <v>5186.58</v>
      </c>
      <c r="H538">
        <v>23251.360000000001</v>
      </c>
      <c r="I538">
        <v>7990.92</v>
      </c>
      <c r="J538" t="s">
        <v>77</v>
      </c>
      <c r="K538">
        <v>9</v>
      </c>
      <c r="L538">
        <v>9</v>
      </c>
      <c r="M538" t="s">
        <v>130</v>
      </c>
      <c r="N538" t="s">
        <v>38</v>
      </c>
    </row>
    <row r="539" spans="1:14" x14ac:dyDescent="0.25">
      <c r="A539" t="s">
        <v>90</v>
      </c>
      <c r="B539" t="s">
        <v>91</v>
      </c>
      <c r="C539" t="s">
        <v>116</v>
      </c>
      <c r="D539" t="s">
        <v>326</v>
      </c>
      <c r="E539" t="s">
        <v>332</v>
      </c>
      <c r="F539">
        <v>12711.42</v>
      </c>
      <c r="G539">
        <v>7387.71</v>
      </c>
      <c r="H539">
        <v>42560.71</v>
      </c>
      <c r="I539">
        <v>13352.93</v>
      </c>
      <c r="J539" t="s">
        <v>77</v>
      </c>
      <c r="K539">
        <v>6</v>
      </c>
      <c r="L539">
        <v>11</v>
      </c>
      <c r="M539" t="s">
        <v>42</v>
      </c>
    </row>
    <row r="540" spans="1:14" x14ac:dyDescent="0.25">
      <c r="A540" t="s">
        <v>93</v>
      </c>
      <c r="B540" t="s">
        <v>94</v>
      </c>
      <c r="C540" t="s">
        <v>89</v>
      </c>
      <c r="D540" t="s">
        <v>324</v>
      </c>
      <c r="E540" t="s">
        <v>306</v>
      </c>
      <c r="F540">
        <v>36450.33</v>
      </c>
      <c r="G540">
        <v>15215.42</v>
      </c>
      <c r="H540">
        <v>8033.88</v>
      </c>
      <c r="I540">
        <v>1663.5</v>
      </c>
      <c r="J540" t="s">
        <v>104</v>
      </c>
      <c r="K540">
        <v>3</v>
      </c>
      <c r="L540">
        <v>15</v>
      </c>
      <c r="M540" t="s">
        <v>20</v>
      </c>
      <c r="N540" t="s">
        <v>125</v>
      </c>
    </row>
    <row r="541" spans="1:14" x14ac:dyDescent="0.25">
      <c r="A541" t="s">
        <v>96</v>
      </c>
      <c r="B541" t="s">
        <v>97</v>
      </c>
      <c r="C541" t="s">
        <v>80</v>
      </c>
      <c r="D541" t="s">
        <v>326</v>
      </c>
      <c r="E541" t="s">
        <v>321</v>
      </c>
      <c r="F541">
        <v>18370.25</v>
      </c>
      <c r="G541">
        <v>11655.47</v>
      </c>
      <c r="H541">
        <v>74027.7</v>
      </c>
      <c r="I541">
        <v>23981.74</v>
      </c>
      <c r="J541" t="s">
        <v>77</v>
      </c>
      <c r="K541">
        <v>3</v>
      </c>
      <c r="L541">
        <v>2</v>
      </c>
      <c r="M541" t="s">
        <v>42</v>
      </c>
      <c r="N541" t="s">
        <v>101</v>
      </c>
    </row>
    <row r="542" spans="1:14" x14ac:dyDescent="0.25">
      <c r="A542" t="s">
        <v>14</v>
      </c>
      <c r="B542" t="s">
        <v>15</v>
      </c>
      <c r="C542" t="s">
        <v>29</v>
      </c>
      <c r="D542" t="s">
        <v>333</v>
      </c>
      <c r="E542" t="s">
        <v>306</v>
      </c>
      <c r="F542">
        <v>148754.42000000001</v>
      </c>
      <c r="G542">
        <v>73648.210000000006</v>
      </c>
      <c r="H542">
        <v>533308.04</v>
      </c>
      <c r="I542">
        <v>167619.1</v>
      </c>
      <c r="J542" t="s">
        <v>41</v>
      </c>
      <c r="K542">
        <v>1</v>
      </c>
      <c r="L542">
        <v>3</v>
      </c>
      <c r="M542" t="s">
        <v>30</v>
      </c>
    </row>
    <row r="543" spans="1:14" x14ac:dyDescent="0.25">
      <c r="A543" t="s">
        <v>21</v>
      </c>
      <c r="B543" t="s">
        <v>22</v>
      </c>
      <c r="C543" t="s">
        <v>46</v>
      </c>
      <c r="D543" t="s">
        <v>334</v>
      </c>
      <c r="E543" t="s">
        <v>306</v>
      </c>
      <c r="F543">
        <v>147918.54999999999</v>
      </c>
      <c r="G543">
        <v>102281.71</v>
      </c>
      <c r="H543">
        <v>6646223</v>
      </c>
      <c r="I543">
        <v>190759.82</v>
      </c>
      <c r="J543" t="s">
        <v>25</v>
      </c>
      <c r="K543">
        <v>1</v>
      </c>
      <c r="L543">
        <v>3</v>
      </c>
      <c r="M543" t="s">
        <v>58</v>
      </c>
      <c r="N543" t="s">
        <v>95</v>
      </c>
    </row>
    <row r="544" spans="1:14" x14ac:dyDescent="0.25">
      <c r="A544" t="s">
        <v>27</v>
      </c>
      <c r="B544" t="s">
        <v>28</v>
      </c>
      <c r="C544" t="s">
        <v>34</v>
      </c>
      <c r="D544" t="s">
        <v>333</v>
      </c>
      <c r="E544" t="s">
        <v>306</v>
      </c>
      <c r="F544">
        <v>202006.27</v>
      </c>
      <c r="G544">
        <v>93923.91</v>
      </c>
      <c r="H544">
        <v>935892.62</v>
      </c>
      <c r="I544">
        <v>248019.02</v>
      </c>
      <c r="J544" t="s">
        <v>25</v>
      </c>
      <c r="K544">
        <v>4</v>
      </c>
      <c r="L544">
        <v>4</v>
      </c>
      <c r="M544" t="s">
        <v>54</v>
      </c>
      <c r="N544" t="s">
        <v>31</v>
      </c>
    </row>
    <row r="545" spans="1:14" x14ac:dyDescent="0.25">
      <c r="A545" t="s">
        <v>32</v>
      </c>
      <c r="B545" t="s">
        <v>33</v>
      </c>
      <c r="C545" t="s">
        <v>46</v>
      </c>
      <c r="D545" t="s">
        <v>333</v>
      </c>
      <c r="E545" t="s">
        <v>306</v>
      </c>
      <c r="F545">
        <v>204323.92</v>
      </c>
      <c r="G545">
        <v>100291.72</v>
      </c>
      <c r="H545">
        <v>982887.09</v>
      </c>
      <c r="I545">
        <v>323670.55</v>
      </c>
      <c r="J545" t="s">
        <v>77</v>
      </c>
      <c r="K545">
        <v>2</v>
      </c>
      <c r="L545">
        <v>6</v>
      </c>
      <c r="M545" t="s">
        <v>54</v>
      </c>
    </row>
    <row r="546" spans="1:14" x14ac:dyDescent="0.25">
      <c r="A546" t="s">
        <v>39</v>
      </c>
      <c r="B546" t="s">
        <v>40</v>
      </c>
      <c r="C546" t="s">
        <v>16</v>
      </c>
      <c r="D546" t="s">
        <v>335</v>
      </c>
      <c r="E546" t="s">
        <v>306</v>
      </c>
      <c r="F546">
        <v>117871.18</v>
      </c>
      <c r="G546">
        <v>53881.27</v>
      </c>
      <c r="H546">
        <v>486317.9</v>
      </c>
      <c r="I546">
        <v>112622.04</v>
      </c>
      <c r="J546" t="s">
        <v>104</v>
      </c>
      <c r="K546">
        <v>2</v>
      </c>
      <c r="L546">
        <v>4</v>
      </c>
      <c r="M546" t="s">
        <v>30</v>
      </c>
      <c r="N546" t="s">
        <v>38</v>
      </c>
    </row>
    <row r="547" spans="1:14" x14ac:dyDescent="0.25">
      <c r="A547" t="s">
        <v>44</v>
      </c>
      <c r="B547" t="s">
        <v>45</v>
      </c>
      <c r="C547" t="s">
        <v>118</v>
      </c>
      <c r="D547" t="s">
        <v>333</v>
      </c>
      <c r="E547" t="s">
        <v>306</v>
      </c>
      <c r="F547">
        <v>1778361</v>
      </c>
      <c r="G547">
        <v>94953.54</v>
      </c>
      <c r="H547">
        <v>494654.26</v>
      </c>
      <c r="I547">
        <v>140808.79999999999</v>
      </c>
      <c r="J547" t="s">
        <v>104</v>
      </c>
      <c r="K547">
        <v>3</v>
      </c>
      <c r="L547">
        <v>3</v>
      </c>
      <c r="M547" t="s">
        <v>42</v>
      </c>
      <c r="N547" t="s">
        <v>105</v>
      </c>
    </row>
    <row r="548" spans="1:14" x14ac:dyDescent="0.25">
      <c r="A548" t="s">
        <v>49</v>
      </c>
      <c r="B548" t="s">
        <v>50</v>
      </c>
      <c r="C548" t="s">
        <v>76</v>
      </c>
      <c r="D548" t="s">
        <v>333</v>
      </c>
      <c r="E548" t="s">
        <v>306</v>
      </c>
      <c r="F548">
        <v>27052.57</v>
      </c>
      <c r="G548">
        <v>15871.02</v>
      </c>
      <c r="H548">
        <v>108373.66</v>
      </c>
      <c r="I548">
        <v>37895.57</v>
      </c>
      <c r="J548" t="s">
        <v>53</v>
      </c>
      <c r="K548">
        <v>2</v>
      </c>
      <c r="L548">
        <v>6</v>
      </c>
      <c r="M548" t="s">
        <v>20</v>
      </c>
      <c r="N548" t="s">
        <v>95</v>
      </c>
    </row>
    <row r="549" spans="1:14" x14ac:dyDescent="0.25">
      <c r="A549" t="s">
        <v>55</v>
      </c>
      <c r="B549" t="s">
        <v>56</v>
      </c>
      <c r="C549" t="s">
        <v>76</v>
      </c>
      <c r="D549" t="s">
        <v>333</v>
      </c>
      <c r="E549" t="s">
        <v>306</v>
      </c>
      <c r="F549">
        <v>81525.61</v>
      </c>
      <c r="G549">
        <v>41622.39</v>
      </c>
      <c r="H549">
        <v>362831.44</v>
      </c>
      <c r="I549">
        <v>105627.29</v>
      </c>
      <c r="J549" t="s">
        <v>41</v>
      </c>
      <c r="K549">
        <v>5</v>
      </c>
      <c r="L549">
        <v>6</v>
      </c>
      <c r="M549" t="s">
        <v>99</v>
      </c>
      <c r="N549" t="s">
        <v>43</v>
      </c>
    </row>
    <row r="550" spans="1:14" x14ac:dyDescent="0.25">
      <c r="A550" t="s">
        <v>59</v>
      </c>
      <c r="B550" t="s">
        <v>60</v>
      </c>
      <c r="C550" t="s">
        <v>61</v>
      </c>
      <c r="D550" t="s">
        <v>333</v>
      </c>
      <c r="E550" t="s">
        <v>306</v>
      </c>
      <c r="F550">
        <v>83025.06</v>
      </c>
      <c r="G550">
        <v>29070.77</v>
      </c>
      <c r="H550">
        <v>215007.43</v>
      </c>
      <c r="I550">
        <v>54794.03</v>
      </c>
      <c r="J550" t="s">
        <v>53</v>
      </c>
      <c r="K550">
        <v>4</v>
      </c>
      <c r="L550">
        <v>3</v>
      </c>
      <c r="M550" t="s">
        <v>112</v>
      </c>
    </row>
    <row r="551" spans="1:14" x14ac:dyDescent="0.25">
      <c r="A551" t="s">
        <v>62</v>
      </c>
      <c r="B551" t="s">
        <v>63</v>
      </c>
      <c r="C551" t="s">
        <v>57</v>
      </c>
      <c r="D551" t="s">
        <v>336</v>
      </c>
      <c r="E551" t="s">
        <v>318</v>
      </c>
      <c r="F551">
        <v>31130.91</v>
      </c>
      <c r="G551">
        <v>16773.46</v>
      </c>
      <c r="H551">
        <v>93838.69</v>
      </c>
      <c r="I551">
        <v>23767.88</v>
      </c>
      <c r="J551" t="s">
        <v>53</v>
      </c>
      <c r="K551">
        <v>1</v>
      </c>
      <c r="L551">
        <v>4</v>
      </c>
      <c r="M551" t="s">
        <v>30</v>
      </c>
    </row>
    <row r="552" spans="1:14" x14ac:dyDescent="0.25">
      <c r="A552" t="s">
        <v>66</v>
      </c>
      <c r="B552" t="s">
        <v>67</v>
      </c>
      <c r="C552" t="s">
        <v>57</v>
      </c>
      <c r="D552" t="s">
        <v>337</v>
      </c>
      <c r="E552" t="s">
        <v>306</v>
      </c>
      <c r="F552">
        <v>31640.71</v>
      </c>
      <c r="G552">
        <v>18171.45</v>
      </c>
      <c r="H552">
        <v>141007.82</v>
      </c>
      <c r="I552">
        <v>43417.45</v>
      </c>
      <c r="J552" t="s">
        <v>25</v>
      </c>
      <c r="K552">
        <v>1</v>
      </c>
      <c r="L552">
        <v>7</v>
      </c>
      <c r="M552" t="s">
        <v>42</v>
      </c>
      <c r="N552" t="s">
        <v>105</v>
      </c>
    </row>
    <row r="553" spans="1:14" x14ac:dyDescent="0.25">
      <c r="A553" t="s">
        <v>68</v>
      </c>
      <c r="B553" t="s">
        <v>69</v>
      </c>
      <c r="C553" t="s">
        <v>114</v>
      </c>
      <c r="D553" t="s">
        <v>336</v>
      </c>
      <c r="E553" t="s">
        <v>306</v>
      </c>
      <c r="F553">
        <v>30911</v>
      </c>
      <c r="G553">
        <v>19789.02</v>
      </c>
      <c r="H553">
        <v>1594462</v>
      </c>
      <c r="I553">
        <v>35571.269999999997</v>
      </c>
      <c r="J553" t="s">
        <v>19</v>
      </c>
      <c r="K553">
        <v>5</v>
      </c>
      <c r="L553">
        <v>2</v>
      </c>
      <c r="M553" t="s">
        <v>54</v>
      </c>
      <c r="N553" t="s">
        <v>81</v>
      </c>
    </row>
    <row r="554" spans="1:14" x14ac:dyDescent="0.25">
      <c r="A554" t="s">
        <v>74</v>
      </c>
      <c r="B554" t="s">
        <v>75</v>
      </c>
      <c r="C554" t="s">
        <v>57</v>
      </c>
      <c r="D554" t="s">
        <v>333</v>
      </c>
      <c r="E554" t="s">
        <v>306</v>
      </c>
      <c r="F554">
        <v>80855.56</v>
      </c>
      <c r="G554">
        <v>36664.22</v>
      </c>
      <c r="H554">
        <v>296424.46999999997</v>
      </c>
      <c r="I554">
        <v>77555.12</v>
      </c>
      <c r="J554" t="s">
        <v>53</v>
      </c>
      <c r="K554">
        <v>5</v>
      </c>
      <c r="L554">
        <v>1</v>
      </c>
      <c r="M554" t="s">
        <v>30</v>
      </c>
      <c r="N554" t="s">
        <v>31</v>
      </c>
    </row>
    <row r="555" spans="1:14" x14ac:dyDescent="0.25">
      <c r="A555" t="s">
        <v>78</v>
      </c>
      <c r="B555" t="s">
        <v>79</v>
      </c>
      <c r="C555" t="s">
        <v>80</v>
      </c>
      <c r="D555" t="s">
        <v>336</v>
      </c>
      <c r="E555" t="s">
        <v>306</v>
      </c>
      <c r="F555">
        <v>21363.08</v>
      </c>
      <c r="G555">
        <v>10358.94</v>
      </c>
      <c r="H555">
        <v>1557.14</v>
      </c>
      <c r="I555">
        <v>290.48</v>
      </c>
      <c r="J555" t="s">
        <v>36</v>
      </c>
      <c r="K555">
        <v>12</v>
      </c>
      <c r="L555">
        <v>15</v>
      </c>
      <c r="M555" t="s">
        <v>20</v>
      </c>
      <c r="N555" t="s">
        <v>113</v>
      </c>
    </row>
    <row r="556" spans="1:14" x14ac:dyDescent="0.25">
      <c r="A556" t="s">
        <v>82</v>
      </c>
      <c r="B556" t="s">
        <v>83</v>
      </c>
      <c r="C556" t="s">
        <v>80</v>
      </c>
      <c r="D556" t="s">
        <v>336</v>
      </c>
      <c r="E556" t="s">
        <v>332</v>
      </c>
      <c r="F556">
        <v>42735.64</v>
      </c>
      <c r="G556">
        <v>17760.38</v>
      </c>
      <c r="H556">
        <v>1185502</v>
      </c>
      <c r="I556">
        <v>23610.46</v>
      </c>
      <c r="J556" t="s">
        <v>36</v>
      </c>
      <c r="K556">
        <v>3</v>
      </c>
      <c r="L556">
        <v>7</v>
      </c>
      <c r="M556" t="s">
        <v>42</v>
      </c>
      <c r="N556" t="s">
        <v>65</v>
      </c>
    </row>
    <row r="557" spans="1:14" x14ac:dyDescent="0.25">
      <c r="A557" t="s">
        <v>84</v>
      </c>
      <c r="B557" t="s">
        <v>85</v>
      </c>
      <c r="C557" t="s">
        <v>86</v>
      </c>
      <c r="D557" t="s">
        <v>336</v>
      </c>
      <c r="E557" t="s">
        <v>332</v>
      </c>
      <c r="F557">
        <v>18117.32</v>
      </c>
      <c r="G557">
        <v>9218.32</v>
      </c>
      <c r="H557">
        <v>4276.8100000000004</v>
      </c>
      <c r="I557">
        <v>1432.81</v>
      </c>
      <c r="J557" t="s">
        <v>19</v>
      </c>
      <c r="K557">
        <v>2</v>
      </c>
      <c r="L557">
        <v>2</v>
      </c>
      <c r="M557" t="s">
        <v>58</v>
      </c>
      <c r="N557" t="s">
        <v>26</v>
      </c>
    </row>
    <row r="558" spans="1:14" x14ac:dyDescent="0.25">
      <c r="A558" t="s">
        <v>87</v>
      </c>
      <c r="B558" t="s">
        <v>88</v>
      </c>
      <c r="C558" t="s">
        <v>137</v>
      </c>
      <c r="D558" t="s">
        <v>337</v>
      </c>
      <c r="E558" t="s">
        <v>306</v>
      </c>
      <c r="F558">
        <v>33882.879999999997</v>
      </c>
      <c r="G558">
        <v>19078.79</v>
      </c>
      <c r="H558">
        <v>138100.21</v>
      </c>
      <c r="I558">
        <v>37511.39</v>
      </c>
      <c r="J558" t="s">
        <v>41</v>
      </c>
      <c r="K558">
        <v>3</v>
      </c>
      <c r="L558">
        <v>11</v>
      </c>
      <c r="M558" t="s">
        <v>54</v>
      </c>
      <c r="N558" t="s">
        <v>81</v>
      </c>
    </row>
    <row r="559" spans="1:14" x14ac:dyDescent="0.25">
      <c r="A559" t="s">
        <v>90</v>
      </c>
      <c r="B559" t="s">
        <v>91</v>
      </c>
      <c r="C559" t="s">
        <v>80</v>
      </c>
      <c r="D559" t="s">
        <v>333</v>
      </c>
      <c r="E559" t="s">
        <v>332</v>
      </c>
      <c r="F559">
        <v>28726.37</v>
      </c>
      <c r="G559">
        <v>15545.69</v>
      </c>
      <c r="H559">
        <v>141649.51999999999</v>
      </c>
      <c r="I559">
        <v>36212.879999999997</v>
      </c>
      <c r="J559" t="s">
        <v>53</v>
      </c>
      <c r="K559">
        <v>8</v>
      </c>
      <c r="L559">
        <v>13</v>
      </c>
      <c r="M559" t="s">
        <v>42</v>
      </c>
      <c r="N559" t="s">
        <v>43</v>
      </c>
    </row>
    <row r="560" spans="1:14" x14ac:dyDescent="0.25">
      <c r="A560" t="s">
        <v>93</v>
      </c>
      <c r="B560" t="s">
        <v>94</v>
      </c>
      <c r="C560" t="s">
        <v>126</v>
      </c>
      <c r="D560" t="s">
        <v>337</v>
      </c>
      <c r="E560" t="s">
        <v>306</v>
      </c>
      <c r="F560">
        <v>19982.63</v>
      </c>
      <c r="G560">
        <v>8522.2999999999993</v>
      </c>
      <c r="H560">
        <v>662959</v>
      </c>
      <c r="I560">
        <v>14691.76</v>
      </c>
      <c r="J560" t="s">
        <v>36</v>
      </c>
      <c r="K560">
        <v>3</v>
      </c>
      <c r="L560">
        <v>11</v>
      </c>
      <c r="M560" t="s">
        <v>54</v>
      </c>
    </row>
    <row r="561" spans="1:14" x14ac:dyDescent="0.25">
      <c r="A561" t="s">
        <v>96</v>
      </c>
      <c r="B561" t="s">
        <v>97</v>
      </c>
      <c r="C561" t="s">
        <v>116</v>
      </c>
      <c r="D561" t="s">
        <v>338</v>
      </c>
      <c r="E561" t="s">
        <v>306</v>
      </c>
      <c r="F561">
        <v>20686.23</v>
      </c>
      <c r="G561">
        <v>12905.97</v>
      </c>
      <c r="H561">
        <v>74026.69</v>
      </c>
      <c r="I561">
        <v>25782.66</v>
      </c>
      <c r="J561" t="s">
        <v>53</v>
      </c>
      <c r="K561">
        <v>4</v>
      </c>
      <c r="L561">
        <v>15</v>
      </c>
      <c r="M561" t="s">
        <v>54</v>
      </c>
      <c r="N561" t="s">
        <v>81</v>
      </c>
    </row>
    <row r="562" spans="1:14" x14ac:dyDescent="0.25">
      <c r="A562" t="s">
        <v>14</v>
      </c>
      <c r="B562" t="s">
        <v>15</v>
      </c>
      <c r="C562" t="s">
        <v>118</v>
      </c>
      <c r="D562" t="s">
        <v>339</v>
      </c>
      <c r="E562" t="s">
        <v>318</v>
      </c>
      <c r="F562">
        <v>166328.14000000001</v>
      </c>
      <c r="G562">
        <v>76352.52</v>
      </c>
      <c r="H562">
        <v>810816.04</v>
      </c>
      <c r="I562">
        <v>232899.97</v>
      </c>
      <c r="J562" t="s">
        <v>77</v>
      </c>
      <c r="K562">
        <v>6</v>
      </c>
      <c r="L562">
        <v>6</v>
      </c>
      <c r="M562" t="s">
        <v>42</v>
      </c>
    </row>
    <row r="563" spans="1:14" x14ac:dyDescent="0.25">
      <c r="A563" t="s">
        <v>21</v>
      </c>
      <c r="B563" t="s">
        <v>22</v>
      </c>
      <c r="C563" t="s">
        <v>46</v>
      </c>
      <c r="D563" t="s">
        <v>340</v>
      </c>
      <c r="E563" t="s">
        <v>306</v>
      </c>
      <c r="F563">
        <v>129237.15</v>
      </c>
      <c r="G563">
        <v>94300.44</v>
      </c>
      <c r="H563">
        <v>628340.71</v>
      </c>
      <c r="I563">
        <v>144863.48000000001</v>
      </c>
      <c r="J563" t="s">
        <v>19</v>
      </c>
      <c r="K563">
        <v>3</v>
      </c>
      <c r="L563">
        <v>5</v>
      </c>
      <c r="M563" t="s">
        <v>54</v>
      </c>
      <c r="N563" t="s">
        <v>101</v>
      </c>
    </row>
    <row r="564" spans="1:14" x14ac:dyDescent="0.25">
      <c r="A564" t="s">
        <v>27</v>
      </c>
      <c r="B564" t="s">
        <v>28</v>
      </c>
      <c r="C564" t="s">
        <v>111</v>
      </c>
      <c r="D564" t="s">
        <v>341</v>
      </c>
      <c r="E564" t="s">
        <v>306</v>
      </c>
      <c r="F564">
        <v>118955.87</v>
      </c>
      <c r="G564">
        <v>61009.31</v>
      </c>
      <c r="H564">
        <v>382083.57</v>
      </c>
      <c r="I564">
        <v>86562.65</v>
      </c>
      <c r="J564" t="s">
        <v>53</v>
      </c>
      <c r="K564">
        <v>4</v>
      </c>
      <c r="L564">
        <v>6</v>
      </c>
      <c r="M564" t="s">
        <v>58</v>
      </c>
    </row>
    <row r="565" spans="1:14" x14ac:dyDescent="0.25">
      <c r="A565" t="s">
        <v>32</v>
      </c>
      <c r="B565" t="s">
        <v>33</v>
      </c>
      <c r="C565" t="s">
        <v>118</v>
      </c>
      <c r="D565" t="s">
        <v>342</v>
      </c>
      <c r="E565" t="s">
        <v>306</v>
      </c>
      <c r="F565">
        <v>83829.02</v>
      </c>
      <c r="G565">
        <v>53815.83</v>
      </c>
      <c r="H565">
        <v>210969.37</v>
      </c>
      <c r="I565">
        <v>38898.980000000003</v>
      </c>
      <c r="J565" t="s">
        <v>53</v>
      </c>
      <c r="K565">
        <v>2</v>
      </c>
      <c r="L565">
        <v>4</v>
      </c>
      <c r="M565" t="s">
        <v>54</v>
      </c>
      <c r="N565" t="s">
        <v>127</v>
      </c>
    </row>
    <row r="566" spans="1:14" x14ac:dyDescent="0.25">
      <c r="A566" t="s">
        <v>39</v>
      </c>
      <c r="B566" t="s">
        <v>40</v>
      </c>
      <c r="C566" t="s">
        <v>34</v>
      </c>
      <c r="D566" t="s">
        <v>339</v>
      </c>
      <c r="E566" t="s">
        <v>306</v>
      </c>
      <c r="F566">
        <v>140517.23000000001</v>
      </c>
      <c r="G566">
        <v>87528.26</v>
      </c>
      <c r="H566">
        <v>608310.94999999995</v>
      </c>
      <c r="I566">
        <v>146075.29</v>
      </c>
      <c r="J566" t="s">
        <v>53</v>
      </c>
      <c r="K566">
        <v>1</v>
      </c>
      <c r="L566">
        <v>5</v>
      </c>
      <c r="M566" t="s">
        <v>58</v>
      </c>
      <c r="N566" t="s">
        <v>26</v>
      </c>
    </row>
    <row r="567" spans="1:14" x14ac:dyDescent="0.25">
      <c r="A567" t="s">
        <v>44</v>
      </c>
      <c r="B567" t="s">
        <v>45</v>
      </c>
      <c r="C567" t="s">
        <v>29</v>
      </c>
      <c r="D567" t="s">
        <v>339</v>
      </c>
      <c r="E567" t="s">
        <v>306</v>
      </c>
      <c r="F567">
        <v>124073.39</v>
      </c>
      <c r="G567">
        <v>66587.149999999994</v>
      </c>
      <c r="H567">
        <v>369242</v>
      </c>
      <c r="I567">
        <v>119042.87</v>
      </c>
      <c r="J567" t="s">
        <v>25</v>
      </c>
      <c r="K567">
        <v>6</v>
      </c>
      <c r="L567">
        <v>6</v>
      </c>
      <c r="M567" t="s">
        <v>30</v>
      </c>
      <c r="N567" t="s">
        <v>125</v>
      </c>
    </row>
    <row r="568" spans="1:14" x14ac:dyDescent="0.25">
      <c r="A568" t="s">
        <v>49</v>
      </c>
      <c r="B568" t="s">
        <v>50</v>
      </c>
      <c r="C568" t="s">
        <v>61</v>
      </c>
      <c r="D568" t="s">
        <v>341</v>
      </c>
      <c r="E568" t="s">
        <v>306</v>
      </c>
      <c r="F568">
        <v>33452.080000000002</v>
      </c>
      <c r="G568">
        <v>30059.65</v>
      </c>
      <c r="H568">
        <v>83897.62</v>
      </c>
      <c r="I568">
        <v>23056.35</v>
      </c>
      <c r="J568" t="s">
        <v>41</v>
      </c>
      <c r="K568">
        <v>2</v>
      </c>
      <c r="L568">
        <v>4</v>
      </c>
      <c r="M568" t="s">
        <v>30</v>
      </c>
      <c r="N568" t="s">
        <v>73</v>
      </c>
    </row>
    <row r="569" spans="1:14" x14ac:dyDescent="0.25">
      <c r="A569" t="s">
        <v>55</v>
      </c>
      <c r="B569" t="s">
        <v>56</v>
      </c>
      <c r="C569" t="s">
        <v>61</v>
      </c>
      <c r="D569" t="s">
        <v>342</v>
      </c>
      <c r="E569" t="s">
        <v>306</v>
      </c>
      <c r="F569">
        <v>82502.34</v>
      </c>
      <c r="G569">
        <v>45214.95</v>
      </c>
      <c r="H569">
        <v>329564.3</v>
      </c>
      <c r="I569">
        <v>75872.600000000006</v>
      </c>
      <c r="J569" t="s">
        <v>104</v>
      </c>
      <c r="K569">
        <v>2</v>
      </c>
      <c r="L569">
        <v>7</v>
      </c>
      <c r="M569" t="s">
        <v>42</v>
      </c>
      <c r="N569" t="s">
        <v>95</v>
      </c>
    </row>
    <row r="570" spans="1:14" x14ac:dyDescent="0.25">
      <c r="A570" t="s">
        <v>59</v>
      </c>
      <c r="B570" t="s">
        <v>60</v>
      </c>
      <c r="C570" t="s">
        <v>51</v>
      </c>
      <c r="D570" t="s">
        <v>343</v>
      </c>
      <c r="E570" t="s">
        <v>306</v>
      </c>
      <c r="F570">
        <v>97472.77</v>
      </c>
      <c r="G570">
        <v>44164.63</v>
      </c>
      <c r="H570">
        <v>390149.09</v>
      </c>
      <c r="I570">
        <v>72147.789999999994</v>
      </c>
      <c r="J570" t="s">
        <v>104</v>
      </c>
      <c r="K570">
        <v>3</v>
      </c>
      <c r="L570">
        <v>8</v>
      </c>
      <c r="M570" t="s">
        <v>20</v>
      </c>
      <c r="N570" t="s">
        <v>31</v>
      </c>
    </row>
    <row r="571" spans="1:14" x14ac:dyDescent="0.25">
      <c r="A571" t="s">
        <v>62</v>
      </c>
      <c r="B571" t="s">
        <v>63</v>
      </c>
      <c r="C571" t="s">
        <v>57</v>
      </c>
      <c r="D571" t="s">
        <v>343</v>
      </c>
      <c r="E571" t="s">
        <v>306</v>
      </c>
      <c r="F571">
        <v>43136.89</v>
      </c>
      <c r="G571">
        <v>19805.259999999998</v>
      </c>
      <c r="H571" t="s">
        <v>344</v>
      </c>
      <c r="I571">
        <v>31671.02</v>
      </c>
      <c r="J571" t="s">
        <v>104</v>
      </c>
      <c r="K571">
        <v>2</v>
      </c>
      <c r="L571">
        <v>8</v>
      </c>
      <c r="M571" t="s">
        <v>30</v>
      </c>
      <c r="N571" t="s">
        <v>81</v>
      </c>
    </row>
    <row r="572" spans="1:14" x14ac:dyDescent="0.25">
      <c r="A572" t="s">
        <v>66</v>
      </c>
      <c r="B572" t="s">
        <v>67</v>
      </c>
      <c r="C572" t="s">
        <v>114</v>
      </c>
      <c r="D572" t="s">
        <v>339</v>
      </c>
      <c r="E572" t="s">
        <v>321</v>
      </c>
      <c r="F572">
        <v>76010.52</v>
      </c>
      <c r="G572">
        <v>44161.07</v>
      </c>
      <c r="H572">
        <v>8258834</v>
      </c>
      <c r="I572">
        <v>53498.17</v>
      </c>
      <c r="J572" t="s">
        <v>104</v>
      </c>
      <c r="K572">
        <v>5</v>
      </c>
      <c r="L572">
        <v>4</v>
      </c>
      <c r="M572" t="s">
        <v>58</v>
      </c>
    </row>
    <row r="573" spans="1:14" x14ac:dyDescent="0.25">
      <c r="A573" t="s">
        <v>68</v>
      </c>
      <c r="B573" t="s">
        <v>69</v>
      </c>
      <c r="C573" t="s">
        <v>76</v>
      </c>
      <c r="D573" t="s">
        <v>340</v>
      </c>
      <c r="E573" t="s">
        <v>306</v>
      </c>
      <c r="F573">
        <v>59094</v>
      </c>
      <c r="G573">
        <v>30155.27</v>
      </c>
      <c r="H573">
        <v>241037.84</v>
      </c>
      <c r="I573">
        <v>44770.91</v>
      </c>
      <c r="J573" t="s">
        <v>19</v>
      </c>
      <c r="K573">
        <v>6</v>
      </c>
      <c r="L573">
        <v>4</v>
      </c>
      <c r="M573" t="s">
        <v>20</v>
      </c>
      <c r="N573" t="s">
        <v>65</v>
      </c>
    </row>
    <row r="574" spans="1:14" x14ac:dyDescent="0.25">
      <c r="A574" t="s">
        <v>78</v>
      </c>
      <c r="B574" t="s">
        <v>79</v>
      </c>
      <c r="C574" t="s">
        <v>80</v>
      </c>
      <c r="D574" t="s">
        <v>339</v>
      </c>
      <c r="E574" t="s">
        <v>306</v>
      </c>
      <c r="F574">
        <v>22625.84</v>
      </c>
      <c r="G574">
        <v>10614.04</v>
      </c>
      <c r="H574">
        <v>101398.85</v>
      </c>
      <c r="I574">
        <v>28692.59</v>
      </c>
      <c r="J574" t="s">
        <v>25</v>
      </c>
      <c r="K574">
        <v>6</v>
      </c>
      <c r="L574">
        <v>11</v>
      </c>
      <c r="M574" t="s">
        <v>20</v>
      </c>
      <c r="N574" t="s">
        <v>73</v>
      </c>
    </row>
    <row r="575" spans="1:14" x14ac:dyDescent="0.25">
      <c r="A575" t="s">
        <v>82</v>
      </c>
      <c r="B575" t="s">
        <v>83</v>
      </c>
      <c r="C575" t="s">
        <v>80</v>
      </c>
      <c r="D575" t="s">
        <v>339</v>
      </c>
      <c r="E575" t="s">
        <v>306</v>
      </c>
      <c r="F575">
        <v>178591</v>
      </c>
      <c r="G575">
        <v>7096.8</v>
      </c>
      <c r="H575">
        <v>71259.8</v>
      </c>
      <c r="I575">
        <v>13035.28</v>
      </c>
      <c r="J575" t="s">
        <v>19</v>
      </c>
      <c r="K575">
        <v>9</v>
      </c>
      <c r="L575">
        <v>13</v>
      </c>
      <c r="M575" t="s">
        <v>42</v>
      </c>
      <c r="N575" t="s">
        <v>73</v>
      </c>
    </row>
    <row r="576" spans="1:14" x14ac:dyDescent="0.25">
      <c r="A576" t="s">
        <v>84</v>
      </c>
      <c r="B576" t="s">
        <v>85</v>
      </c>
      <c r="C576" t="s">
        <v>116</v>
      </c>
      <c r="D576" t="s">
        <v>345</v>
      </c>
      <c r="E576" t="s">
        <v>306</v>
      </c>
      <c r="F576">
        <v>29861.38</v>
      </c>
      <c r="G576">
        <v>14007.31</v>
      </c>
      <c r="H576">
        <v>90157.62</v>
      </c>
      <c r="I576">
        <v>25323.439999999999</v>
      </c>
      <c r="J576" t="s">
        <v>104</v>
      </c>
      <c r="K576">
        <v>3</v>
      </c>
      <c r="L576">
        <v>4</v>
      </c>
      <c r="M576" t="s">
        <v>54</v>
      </c>
      <c r="N576" t="s">
        <v>81</v>
      </c>
    </row>
    <row r="577" spans="1:14" x14ac:dyDescent="0.25">
      <c r="A577" t="s">
        <v>87</v>
      </c>
      <c r="B577" t="s">
        <v>88</v>
      </c>
      <c r="C577" t="s">
        <v>86</v>
      </c>
      <c r="D577" t="s">
        <v>342</v>
      </c>
      <c r="E577" t="s">
        <v>318</v>
      </c>
      <c r="F577">
        <v>24165.71</v>
      </c>
      <c r="G577">
        <v>12170.55</v>
      </c>
      <c r="H577">
        <v>106029.35</v>
      </c>
      <c r="I577">
        <v>28919.52</v>
      </c>
      <c r="J577" t="s">
        <v>25</v>
      </c>
      <c r="K577">
        <v>7</v>
      </c>
      <c r="L577">
        <v>5</v>
      </c>
      <c r="M577" t="s">
        <v>92</v>
      </c>
      <c r="N577" t="s">
        <v>26</v>
      </c>
    </row>
    <row r="578" spans="1:14" x14ac:dyDescent="0.25">
      <c r="A578" t="s">
        <v>90</v>
      </c>
      <c r="B578" t="s">
        <v>91</v>
      </c>
      <c r="C578" t="s">
        <v>116</v>
      </c>
      <c r="D578" t="s">
        <v>339</v>
      </c>
      <c r="E578" t="s">
        <v>318</v>
      </c>
      <c r="F578">
        <v>628435</v>
      </c>
      <c r="G578">
        <v>17051.04</v>
      </c>
      <c r="H578">
        <v>85120.69</v>
      </c>
      <c r="I578">
        <v>16966.509999999998</v>
      </c>
      <c r="J578" t="s">
        <v>19</v>
      </c>
      <c r="K578">
        <v>8</v>
      </c>
      <c r="L578">
        <v>4</v>
      </c>
      <c r="M578" t="s">
        <v>54</v>
      </c>
      <c r="N578" t="s">
        <v>31</v>
      </c>
    </row>
    <row r="579" spans="1:14" x14ac:dyDescent="0.25">
      <c r="A579" t="s">
        <v>93</v>
      </c>
      <c r="B579" t="s">
        <v>94</v>
      </c>
      <c r="C579" t="s">
        <v>116</v>
      </c>
      <c r="D579" t="s">
        <v>342</v>
      </c>
      <c r="E579" t="s">
        <v>306</v>
      </c>
      <c r="F579">
        <v>33590.07</v>
      </c>
      <c r="G579">
        <v>11769.96</v>
      </c>
      <c r="H579">
        <v>141500.18</v>
      </c>
      <c r="I579">
        <v>48370.31</v>
      </c>
      <c r="J579" t="s">
        <v>41</v>
      </c>
      <c r="K579">
        <v>7</v>
      </c>
      <c r="L579">
        <v>10</v>
      </c>
      <c r="M579" t="s">
        <v>42</v>
      </c>
    </row>
    <row r="580" spans="1:14" x14ac:dyDescent="0.25">
      <c r="A580" t="s">
        <v>96</v>
      </c>
      <c r="B580" t="s">
        <v>97</v>
      </c>
      <c r="C580" t="s">
        <v>80</v>
      </c>
      <c r="D580" t="s">
        <v>342</v>
      </c>
      <c r="E580" t="s">
        <v>306</v>
      </c>
      <c r="F580">
        <v>20794.5</v>
      </c>
      <c r="G580">
        <v>10102.91</v>
      </c>
      <c r="H580">
        <v>55471.83</v>
      </c>
      <c r="I580">
        <v>12925.65</v>
      </c>
      <c r="J580" t="s">
        <v>77</v>
      </c>
      <c r="K580">
        <v>5</v>
      </c>
      <c r="L580">
        <v>9</v>
      </c>
      <c r="M580" t="s">
        <v>30</v>
      </c>
      <c r="N580" t="s">
        <v>105</v>
      </c>
    </row>
    <row r="581" spans="1:14" x14ac:dyDescent="0.25">
      <c r="A581" t="s">
        <v>14</v>
      </c>
      <c r="B581" t="s">
        <v>15</v>
      </c>
      <c r="C581" t="s">
        <v>46</v>
      </c>
      <c r="D581" t="s">
        <v>346</v>
      </c>
      <c r="E581" t="s">
        <v>306</v>
      </c>
      <c r="F581">
        <v>81978.13</v>
      </c>
      <c r="G581">
        <v>41549.589999999997</v>
      </c>
      <c r="H581">
        <v>324729.38</v>
      </c>
      <c r="I581">
        <v>92926.24</v>
      </c>
      <c r="J581" t="s">
        <v>104</v>
      </c>
      <c r="K581">
        <v>4</v>
      </c>
      <c r="L581">
        <v>7</v>
      </c>
      <c r="M581" t="s">
        <v>64</v>
      </c>
      <c r="N581" t="s">
        <v>43</v>
      </c>
    </row>
    <row r="582" spans="1:14" x14ac:dyDescent="0.25">
      <c r="A582" t="s">
        <v>21</v>
      </c>
      <c r="B582" t="s">
        <v>22</v>
      </c>
      <c r="C582" t="s">
        <v>29</v>
      </c>
      <c r="D582" t="s">
        <v>346</v>
      </c>
      <c r="E582" t="s">
        <v>306</v>
      </c>
      <c r="F582">
        <v>124423.51</v>
      </c>
      <c r="G582">
        <v>98047.73</v>
      </c>
      <c r="H582">
        <v>611746.49</v>
      </c>
      <c r="I582">
        <v>174164.73</v>
      </c>
      <c r="J582" t="s">
        <v>36</v>
      </c>
      <c r="K582">
        <v>4</v>
      </c>
      <c r="L582">
        <v>5</v>
      </c>
      <c r="M582" t="s">
        <v>30</v>
      </c>
      <c r="N582" t="s">
        <v>26</v>
      </c>
    </row>
    <row r="583" spans="1:14" x14ac:dyDescent="0.25">
      <c r="A583" t="s">
        <v>27</v>
      </c>
      <c r="B583" t="s">
        <v>28</v>
      </c>
      <c r="C583" t="s">
        <v>34</v>
      </c>
      <c r="D583" t="s">
        <v>347</v>
      </c>
      <c r="E583" t="s">
        <v>306</v>
      </c>
      <c r="F583">
        <v>87306.49</v>
      </c>
      <c r="G583">
        <v>46965.46</v>
      </c>
      <c r="H583">
        <v>289658.77</v>
      </c>
      <c r="I583">
        <v>57914.49</v>
      </c>
      <c r="J583" t="s">
        <v>41</v>
      </c>
      <c r="K583">
        <v>5</v>
      </c>
      <c r="L583">
        <v>8</v>
      </c>
      <c r="M583" t="s">
        <v>20</v>
      </c>
      <c r="N583" t="s">
        <v>125</v>
      </c>
    </row>
    <row r="584" spans="1:14" x14ac:dyDescent="0.25">
      <c r="A584" t="s">
        <v>32</v>
      </c>
      <c r="B584" t="s">
        <v>33</v>
      </c>
      <c r="C584" t="s">
        <v>111</v>
      </c>
      <c r="D584" t="s">
        <v>348</v>
      </c>
      <c r="E584" t="s">
        <v>306</v>
      </c>
      <c r="F584">
        <v>196704.69</v>
      </c>
      <c r="G584">
        <v>121558.62</v>
      </c>
      <c r="H584">
        <v>732770.96</v>
      </c>
      <c r="I584">
        <v>217275.74</v>
      </c>
      <c r="J584" t="s">
        <v>41</v>
      </c>
      <c r="K584">
        <v>5</v>
      </c>
      <c r="L584">
        <v>8</v>
      </c>
      <c r="M584" t="s">
        <v>37</v>
      </c>
    </row>
    <row r="585" spans="1:14" x14ac:dyDescent="0.25">
      <c r="A585" t="s">
        <v>39</v>
      </c>
      <c r="B585" t="s">
        <v>40</v>
      </c>
      <c r="C585" t="s">
        <v>46</v>
      </c>
      <c r="D585" t="s">
        <v>349</v>
      </c>
      <c r="E585" t="s">
        <v>306</v>
      </c>
      <c r="F585">
        <v>219706.02</v>
      </c>
      <c r="G585">
        <v>115673.35</v>
      </c>
      <c r="H585">
        <v>10061835</v>
      </c>
      <c r="I585">
        <v>226481.06</v>
      </c>
      <c r="J585" t="s">
        <v>19</v>
      </c>
      <c r="K585">
        <v>3</v>
      </c>
      <c r="L585">
        <v>3</v>
      </c>
      <c r="M585" t="s">
        <v>30</v>
      </c>
      <c r="N585" t="s">
        <v>31</v>
      </c>
    </row>
    <row r="586" spans="1:14" x14ac:dyDescent="0.25">
      <c r="A586" t="s">
        <v>44</v>
      </c>
      <c r="B586" t="s">
        <v>45</v>
      </c>
      <c r="C586" t="s">
        <v>34</v>
      </c>
      <c r="D586" t="s">
        <v>347</v>
      </c>
      <c r="E586" t="s">
        <v>306</v>
      </c>
      <c r="F586">
        <v>135761.16</v>
      </c>
      <c r="G586">
        <v>80214.87</v>
      </c>
      <c r="H586">
        <v>551621.49</v>
      </c>
      <c r="I586">
        <v>176499.78</v>
      </c>
      <c r="J586" t="s">
        <v>104</v>
      </c>
      <c r="K586">
        <v>6</v>
      </c>
      <c r="L586">
        <v>5</v>
      </c>
      <c r="M586" t="s">
        <v>64</v>
      </c>
      <c r="N586" t="s">
        <v>95</v>
      </c>
    </row>
    <row r="587" spans="1:14" x14ac:dyDescent="0.25">
      <c r="A587" t="s">
        <v>55</v>
      </c>
      <c r="B587" t="s">
        <v>56</v>
      </c>
      <c r="C587" t="s">
        <v>114</v>
      </c>
      <c r="D587" t="s">
        <v>348</v>
      </c>
      <c r="E587" t="s">
        <v>321</v>
      </c>
      <c r="F587">
        <v>39191.51</v>
      </c>
      <c r="G587">
        <v>24462.66</v>
      </c>
      <c r="H587">
        <v>1060953</v>
      </c>
      <c r="I587">
        <v>21250.86</v>
      </c>
      <c r="J587" t="s">
        <v>19</v>
      </c>
      <c r="K587">
        <v>4</v>
      </c>
      <c r="L587">
        <v>3</v>
      </c>
      <c r="M587" t="s">
        <v>30</v>
      </c>
      <c r="N587" t="s">
        <v>125</v>
      </c>
    </row>
    <row r="588" spans="1:14" x14ac:dyDescent="0.25">
      <c r="A588" t="s">
        <v>59</v>
      </c>
      <c r="B588" t="s">
        <v>60</v>
      </c>
      <c r="C588" t="s">
        <v>70</v>
      </c>
      <c r="D588" t="s">
        <v>349</v>
      </c>
      <c r="E588" t="s">
        <v>306</v>
      </c>
      <c r="F588">
        <v>88141.2</v>
      </c>
      <c r="G588">
        <v>41611.629999999997</v>
      </c>
      <c r="H588">
        <v>312103.32</v>
      </c>
      <c r="I588">
        <v>59440.76</v>
      </c>
      <c r="J588" t="s">
        <v>41</v>
      </c>
      <c r="K588">
        <v>2</v>
      </c>
      <c r="L588">
        <v>7</v>
      </c>
      <c r="M588" t="s">
        <v>54</v>
      </c>
      <c r="N588" t="s">
        <v>113</v>
      </c>
    </row>
    <row r="589" spans="1:14" x14ac:dyDescent="0.25">
      <c r="A589" t="s">
        <v>62</v>
      </c>
      <c r="B589" t="s">
        <v>63</v>
      </c>
      <c r="C589" t="s">
        <v>70</v>
      </c>
      <c r="D589" t="s">
        <v>350</v>
      </c>
      <c r="E589" t="s">
        <v>306</v>
      </c>
      <c r="F589">
        <v>63633.56</v>
      </c>
      <c r="G589">
        <v>34568.959999999999</v>
      </c>
      <c r="H589">
        <v>249155.51</v>
      </c>
      <c r="I589">
        <v>49772.42</v>
      </c>
      <c r="J589" t="s">
        <v>36</v>
      </c>
      <c r="K589">
        <v>1</v>
      </c>
      <c r="L589">
        <v>2</v>
      </c>
      <c r="M589" t="s">
        <v>30</v>
      </c>
      <c r="N589" t="s">
        <v>110</v>
      </c>
    </row>
    <row r="590" spans="1:14" x14ac:dyDescent="0.25">
      <c r="A590" t="s">
        <v>68</v>
      </c>
      <c r="B590" t="s">
        <v>69</v>
      </c>
      <c r="C590" t="s">
        <v>114</v>
      </c>
      <c r="D590" t="s">
        <v>348</v>
      </c>
      <c r="E590" t="s">
        <v>306</v>
      </c>
      <c r="F590">
        <v>44803.93</v>
      </c>
      <c r="G590">
        <v>25917.439999999999</v>
      </c>
      <c r="H590">
        <v>195726.9</v>
      </c>
      <c r="I590">
        <v>45561.86</v>
      </c>
      <c r="J590" t="s">
        <v>36</v>
      </c>
      <c r="K590">
        <v>4</v>
      </c>
      <c r="L590">
        <v>4</v>
      </c>
      <c r="M590" t="s">
        <v>92</v>
      </c>
      <c r="N590" t="s">
        <v>31</v>
      </c>
    </row>
    <row r="591" spans="1:14" x14ac:dyDescent="0.25">
      <c r="A591" t="s">
        <v>74</v>
      </c>
      <c r="B591" t="s">
        <v>75</v>
      </c>
      <c r="C591" t="s">
        <v>57</v>
      </c>
      <c r="D591" t="s">
        <v>351</v>
      </c>
      <c r="E591" t="s">
        <v>306</v>
      </c>
      <c r="F591">
        <v>45872.71</v>
      </c>
      <c r="G591">
        <v>25951.99</v>
      </c>
      <c r="H591">
        <v>203258.59</v>
      </c>
      <c r="I591">
        <v>65249.06</v>
      </c>
      <c r="J591" t="s">
        <v>19</v>
      </c>
      <c r="K591">
        <v>6</v>
      </c>
      <c r="L591">
        <v>6</v>
      </c>
      <c r="M591" t="s">
        <v>30</v>
      </c>
      <c r="N591" t="s">
        <v>73</v>
      </c>
    </row>
    <row r="592" spans="1:14" x14ac:dyDescent="0.25">
      <c r="A592" t="s">
        <v>78</v>
      </c>
      <c r="B592" t="s">
        <v>79</v>
      </c>
      <c r="C592" t="s">
        <v>137</v>
      </c>
      <c r="D592" t="s">
        <v>348</v>
      </c>
      <c r="E592" t="s">
        <v>306</v>
      </c>
      <c r="F592">
        <v>26890.65</v>
      </c>
      <c r="G592">
        <v>16563.88</v>
      </c>
      <c r="H592">
        <v>85307.24</v>
      </c>
      <c r="I592">
        <v>18411.240000000002</v>
      </c>
      <c r="J592" t="s">
        <v>104</v>
      </c>
      <c r="K592">
        <v>5</v>
      </c>
      <c r="L592">
        <v>14</v>
      </c>
      <c r="M592" t="s">
        <v>30</v>
      </c>
      <c r="N592" t="s">
        <v>81</v>
      </c>
    </row>
    <row r="593" spans="1:14" x14ac:dyDescent="0.25">
      <c r="A593" t="s">
        <v>82</v>
      </c>
      <c r="B593" t="s">
        <v>83</v>
      </c>
      <c r="C593" t="s">
        <v>80</v>
      </c>
      <c r="D593" t="s">
        <v>348</v>
      </c>
      <c r="E593" t="s">
        <v>332</v>
      </c>
      <c r="F593">
        <v>32514.21</v>
      </c>
      <c r="G593">
        <v>13354.77</v>
      </c>
      <c r="H593">
        <v>108652.08</v>
      </c>
      <c r="I593">
        <v>23013.48</v>
      </c>
      <c r="J593" t="s">
        <v>25</v>
      </c>
      <c r="K593">
        <v>7</v>
      </c>
      <c r="L593">
        <v>7</v>
      </c>
      <c r="M593" t="s">
        <v>20</v>
      </c>
    </row>
    <row r="594" spans="1:14" x14ac:dyDescent="0.25">
      <c r="A594" t="s">
        <v>84</v>
      </c>
      <c r="B594" t="s">
        <v>85</v>
      </c>
      <c r="C594" t="s">
        <v>86</v>
      </c>
      <c r="D594" t="s">
        <v>351</v>
      </c>
      <c r="E594" t="s">
        <v>306</v>
      </c>
      <c r="F594">
        <v>14819.52</v>
      </c>
      <c r="G594">
        <v>7670.22</v>
      </c>
      <c r="H594">
        <v>3494.41</v>
      </c>
      <c r="I594">
        <v>768.18</v>
      </c>
      <c r="J594" t="s">
        <v>19</v>
      </c>
      <c r="K594">
        <v>10</v>
      </c>
      <c r="L594">
        <v>12</v>
      </c>
      <c r="M594" t="s">
        <v>20</v>
      </c>
    </row>
    <row r="595" spans="1:14" x14ac:dyDescent="0.25">
      <c r="A595" t="s">
        <v>90</v>
      </c>
      <c r="B595" t="s">
        <v>91</v>
      </c>
      <c r="C595" t="s">
        <v>116</v>
      </c>
      <c r="D595" t="s">
        <v>348</v>
      </c>
      <c r="E595" t="s">
        <v>306</v>
      </c>
      <c r="F595">
        <v>28299.95</v>
      </c>
      <c r="G595">
        <v>14620.59</v>
      </c>
      <c r="H595">
        <v>139400.26999999999</v>
      </c>
      <c r="I595">
        <v>43240.56</v>
      </c>
      <c r="J595" t="s">
        <v>53</v>
      </c>
      <c r="K595">
        <v>7</v>
      </c>
      <c r="L595">
        <v>2</v>
      </c>
      <c r="M595" t="s">
        <v>58</v>
      </c>
      <c r="N595" t="s">
        <v>101</v>
      </c>
    </row>
    <row r="596" spans="1:14" x14ac:dyDescent="0.25">
      <c r="A596" t="s">
        <v>93</v>
      </c>
      <c r="B596" t="s">
        <v>94</v>
      </c>
      <c r="C596" t="s">
        <v>116</v>
      </c>
      <c r="D596" t="s">
        <v>351</v>
      </c>
      <c r="E596" t="s">
        <v>308</v>
      </c>
      <c r="F596">
        <v>37347.19</v>
      </c>
      <c r="G596">
        <v>16672.09</v>
      </c>
      <c r="H596">
        <v>137936.63</v>
      </c>
      <c r="I596">
        <v>35868.51</v>
      </c>
      <c r="J596" t="s">
        <v>41</v>
      </c>
      <c r="K596">
        <v>12</v>
      </c>
      <c r="L596">
        <v>2</v>
      </c>
      <c r="M596" t="s">
        <v>58</v>
      </c>
      <c r="N596" t="s">
        <v>38</v>
      </c>
    </row>
    <row r="597" spans="1:14" x14ac:dyDescent="0.25">
      <c r="A597" t="s">
        <v>96</v>
      </c>
      <c r="B597" t="s">
        <v>97</v>
      </c>
      <c r="C597" t="s">
        <v>137</v>
      </c>
      <c r="D597" t="s">
        <v>346</v>
      </c>
      <c r="E597" t="s">
        <v>308</v>
      </c>
      <c r="F597">
        <v>32246.57</v>
      </c>
      <c r="G597">
        <v>19221.36</v>
      </c>
      <c r="H597">
        <v>128739.52</v>
      </c>
      <c r="I597">
        <v>30764.55</v>
      </c>
      <c r="J597" t="s">
        <v>77</v>
      </c>
      <c r="K597">
        <v>12</v>
      </c>
      <c r="L597">
        <v>8</v>
      </c>
      <c r="M597" t="s">
        <v>54</v>
      </c>
    </row>
    <row r="598" spans="1:14" x14ac:dyDescent="0.25">
      <c r="A598" t="s">
        <v>14</v>
      </c>
      <c r="B598" t="s">
        <v>15</v>
      </c>
      <c r="C598" t="s">
        <v>29</v>
      </c>
      <c r="D598" t="s">
        <v>352</v>
      </c>
      <c r="E598" t="s">
        <v>306</v>
      </c>
      <c r="F598">
        <v>208042.04</v>
      </c>
      <c r="G598">
        <v>99364.2</v>
      </c>
      <c r="H598">
        <v>543118.67000000004</v>
      </c>
      <c r="I598">
        <v>106334.25</v>
      </c>
      <c r="J598" t="s">
        <v>41</v>
      </c>
      <c r="K598">
        <v>4</v>
      </c>
      <c r="L598">
        <v>4</v>
      </c>
      <c r="M598" t="s">
        <v>20</v>
      </c>
      <c r="N598" t="s">
        <v>125</v>
      </c>
    </row>
    <row r="599" spans="1:14" x14ac:dyDescent="0.25">
      <c r="A599" t="s">
        <v>21</v>
      </c>
      <c r="B599" t="s">
        <v>22</v>
      </c>
      <c r="C599" t="s">
        <v>46</v>
      </c>
      <c r="D599" t="s">
        <v>353</v>
      </c>
      <c r="E599" t="s">
        <v>306</v>
      </c>
      <c r="F599" t="s">
        <v>354</v>
      </c>
      <c r="G599">
        <v>79149.78</v>
      </c>
      <c r="H599">
        <v>453930.67</v>
      </c>
      <c r="I599">
        <v>143975.76</v>
      </c>
      <c r="J599" t="s">
        <v>25</v>
      </c>
      <c r="K599">
        <v>2</v>
      </c>
      <c r="L599">
        <v>2</v>
      </c>
      <c r="M599" t="s">
        <v>54</v>
      </c>
      <c r="N599" t="s">
        <v>31</v>
      </c>
    </row>
    <row r="600" spans="1:14" x14ac:dyDescent="0.25">
      <c r="A600" t="s">
        <v>27</v>
      </c>
      <c r="B600" t="s">
        <v>28</v>
      </c>
      <c r="C600" t="s">
        <v>118</v>
      </c>
      <c r="D600" t="s">
        <v>353</v>
      </c>
      <c r="E600" t="s">
        <v>306</v>
      </c>
      <c r="F600">
        <v>96234.18</v>
      </c>
      <c r="G600">
        <v>60785.57</v>
      </c>
      <c r="H600">
        <v>428483.53</v>
      </c>
      <c r="I600">
        <v>138618.12</v>
      </c>
      <c r="J600" t="s">
        <v>41</v>
      </c>
      <c r="K600">
        <v>3</v>
      </c>
      <c r="L600">
        <v>6</v>
      </c>
      <c r="M600" t="s">
        <v>58</v>
      </c>
    </row>
    <row r="601" spans="1:14" x14ac:dyDescent="0.25">
      <c r="A601" t="s">
        <v>32</v>
      </c>
      <c r="B601" t="s">
        <v>33</v>
      </c>
      <c r="C601" t="s">
        <v>111</v>
      </c>
      <c r="D601" t="s">
        <v>352</v>
      </c>
      <c r="E601" t="s">
        <v>306</v>
      </c>
      <c r="F601">
        <v>181868.03</v>
      </c>
      <c r="G601">
        <v>83606.320000000007</v>
      </c>
      <c r="H601" t="s">
        <v>355</v>
      </c>
      <c r="I601">
        <v>122093.53</v>
      </c>
      <c r="J601" t="s">
        <v>41</v>
      </c>
      <c r="K601">
        <v>1</v>
      </c>
      <c r="L601">
        <v>5</v>
      </c>
      <c r="M601" t="s">
        <v>37</v>
      </c>
      <c r="N601" t="s">
        <v>73</v>
      </c>
    </row>
    <row r="602" spans="1:14" x14ac:dyDescent="0.25">
      <c r="A602" t="s">
        <v>39</v>
      </c>
      <c r="B602" t="s">
        <v>40</v>
      </c>
      <c r="C602" t="s">
        <v>34</v>
      </c>
      <c r="D602" t="s">
        <v>356</v>
      </c>
      <c r="E602" t="s">
        <v>306</v>
      </c>
      <c r="F602">
        <v>82452.66</v>
      </c>
      <c r="G602">
        <v>47591.39</v>
      </c>
      <c r="H602">
        <v>16303.86</v>
      </c>
      <c r="I602">
        <v>3623.8</v>
      </c>
      <c r="J602" t="s">
        <v>41</v>
      </c>
      <c r="K602">
        <v>1</v>
      </c>
      <c r="L602">
        <v>2</v>
      </c>
      <c r="M602" t="s">
        <v>58</v>
      </c>
    </row>
    <row r="603" spans="1:14" x14ac:dyDescent="0.25">
      <c r="A603" t="s">
        <v>44</v>
      </c>
      <c r="B603" t="s">
        <v>45</v>
      </c>
      <c r="C603" t="s">
        <v>118</v>
      </c>
      <c r="D603" t="s">
        <v>356</v>
      </c>
      <c r="E603" t="s">
        <v>306</v>
      </c>
      <c r="F603">
        <v>85689.74</v>
      </c>
      <c r="G603">
        <v>39216.550000000003</v>
      </c>
      <c r="H603">
        <v>296039.40000000002</v>
      </c>
      <c r="I603">
        <v>57251.07</v>
      </c>
      <c r="J603" t="s">
        <v>25</v>
      </c>
      <c r="K603">
        <v>6</v>
      </c>
      <c r="L603">
        <v>2</v>
      </c>
      <c r="M603" t="s">
        <v>20</v>
      </c>
      <c r="N603" t="s">
        <v>127</v>
      </c>
    </row>
    <row r="604" spans="1:14" x14ac:dyDescent="0.25">
      <c r="A604" t="s">
        <v>49</v>
      </c>
      <c r="B604" t="s">
        <v>50</v>
      </c>
      <c r="C604" t="s">
        <v>114</v>
      </c>
      <c r="D604" t="s">
        <v>356</v>
      </c>
      <c r="E604" t="s">
        <v>306</v>
      </c>
      <c r="F604">
        <v>47447.63</v>
      </c>
      <c r="G604">
        <v>35842.74</v>
      </c>
      <c r="H604">
        <v>7813.07</v>
      </c>
      <c r="I604">
        <v>1692.2</v>
      </c>
      <c r="J604" t="s">
        <v>104</v>
      </c>
      <c r="K604">
        <v>4</v>
      </c>
      <c r="L604">
        <v>4</v>
      </c>
      <c r="M604" t="s">
        <v>58</v>
      </c>
      <c r="N604" t="s">
        <v>65</v>
      </c>
    </row>
    <row r="605" spans="1:14" x14ac:dyDescent="0.25">
      <c r="A605" t="s">
        <v>55</v>
      </c>
      <c r="B605" t="s">
        <v>56</v>
      </c>
      <c r="C605" t="s">
        <v>76</v>
      </c>
      <c r="D605" t="s">
        <v>357</v>
      </c>
      <c r="E605" t="s">
        <v>306</v>
      </c>
      <c r="F605">
        <v>46486.12</v>
      </c>
      <c r="G605">
        <v>28265.96</v>
      </c>
      <c r="H605">
        <v>127505.35</v>
      </c>
      <c r="I605">
        <v>38319.370000000003</v>
      </c>
      <c r="J605" t="s">
        <v>104</v>
      </c>
      <c r="K605">
        <v>2</v>
      </c>
      <c r="L605">
        <v>6</v>
      </c>
      <c r="M605" t="s">
        <v>42</v>
      </c>
      <c r="N605" t="s">
        <v>81</v>
      </c>
    </row>
    <row r="606" spans="1:14" x14ac:dyDescent="0.25">
      <c r="A606" t="s">
        <v>59</v>
      </c>
      <c r="B606" t="s">
        <v>60</v>
      </c>
      <c r="C606" t="s">
        <v>51</v>
      </c>
      <c r="D606" t="s">
        <v>357</v>
      </c>
      <c r="E606" t="s">
        <v>306</v>
      </c>
      <c r="F606">
        <v>68362.429999999993</v>
      </c>
      <c r="G606">
        <v>30393.74</v>
      </c>
      <c r="H606">
        <v>261869.2</v>
      </c>
      <c r="I606">
        <v>64501.11</v>
      </c>
      <c r="J606" t="s">
        <v>36</v>
      </c>
      <c r="K606">
        <v>4</v>
      </c>
      <c r="L606">
        <v>4</v>
      </c>
      <c r="M606" t="s">
        <v>54</v>
      </c>
      <c r="N606" t="s">
        <v>81</v>
      </c>
    </row>
    <row r="607" spans="1:14" x14ac:dyDescent="0.25">
      <c r="A607" t="s">
        <v>62</v>
      </c>
      <c r="B607" t="s">
        <v>63</v>
      </c>
      <c r="C607" t="s">
        <v>70</v>
      </c>
      <c r="D607" t="s">
        <v>353</v>
      </c>
      <c r="E607" t="s">
        <v>308</v>
      </c>
      <c r="F607">
        <v>58042.81</v>
      </c>
      <c r="G607">
        <v>32909.54</v>
      </c>
      <c r="H607">
        <v>227076.87</v>
      </c>
      <c r="I607">
        <v>70402.87</v>
      </c>
      <c r="J607" t="s">
        <v>41</v>
      </c>
      <c r="K607">
        <v>3</v>
      </c>
      <c r="L607">
        <v>6</v>
      </c>
      <c r="M607" t="s">
        <v>20</v>
      </c>
      <c r="N607" t="s">
        <v>127</v>
      </c>
    </row>
    <row r="608" spans="1:14" x14ac:dyDescent="0.25">
      <c r="A608" t="s">
        <v>66</v>
      </c>
      <c r="B608" t="s">
        <v>67</v>
      </c>
      <c r="C608" t="s">
        <v>76</v>
      </c>
      <c r="D608" t="s">
        <v>356</v>
      </c>
      <c r="E608" t="s">
        <v>306</v>
      </c>
      <c r="F608">
        <v>40717.35</v>
      </c>
      <c r="G608">
        <v>24654.55</v>
      </c>
      <c r="H608">
        <v>157786.88</v>
      </c>
      <c r="I608">
        <v>34242.58</v>
      </c>
      <c r="J608" t="s">
        <v>77</v>
      </c>
      <c r="K608">
        <v>5</v>
      </c>
      <c r="L608">
        <v>7</v>
      </c>
      <c r="M608" t="s">
        <v>42</v>
      </c>
      <c r="N608" t="s">
        <v>38</v>
      </c>
    </row>
    <row r="609" spans="1:14" x14ac:dyDescent="0.25">
      <c r="A609" t="s">
        <v>68</v>
      </c>
      <c r="B609" t="s">
        <v>69</v>
      </c>
      <c r="C609" t="s">
        <v>61</v>
      </c>
      <c r="D609" t="s">
        <v>356</v>
      </c>
      <c r="E609" t="s">
        <v>306</v>
      </c>
      <c r="F609">
        <v>54237.96</v>
      </c>
      <c r="G609">
        <v>27512.57</v>
      </c>
      <c r="H609">
        <v>156878.93</v>
      </c>
      <c r="I609">
        <v>38907.42</v>
      </c>
      <c r="J609" t="s">
        <v>41</v>
      </c>
      <c r="K609">
        <v>1</v>
      </c>
      <c r="L609">
        <v>8</v>
      </c>
      <c r="M609" t="s">
        <v>42</v>
      </c>
      <c r="N609" t="s">
        <v>113</v>
      </c>
    </row>
    <row r="610" spans="1:14" x14ac:dyDescent="0.25">
      <c r="A610" t="s">
        <v>74</v>
      </c>
      <c r="B610" t="s">
        <v>75</v>
      </c>
      <c r="C610" t="s">
        <v>114</v>
      </c>
      <c r="D610" t="s">
        <v>356</v>
      </c>
      <c r="E610" t="s">
        <v>332</v>
      </c>
      <c r="F610">
        <v>38314.32</v>
      </c>
      <c r="G610">
        <v>24895.96</v>
      </c>
      <c r="H610">
        <v>186350.23</v>
      </c>
      <c r="I610">
        <v>41461.050000000003</v>
      </c>
      <c r="J610" t="s">
        <v>36</v>
      </c>
      <c r="K610">
        <v>5</v>
      </c>
      <c r="L610">
        <v>7</v>
      </c>
      <c r="M610" t="s">
        <v>30</v>
      </c>
      <c r="N610" t="s">
        <v>105</v>
      </c>
    </row>
    <row r="611" spans="1:14" x14ac:dyDescent="0.25">
      <c r="A611" t="s">
        <v>78</v>
      </c>
      <c r="B611" t="s">
        <v>79</v>
      </c>
      <c r="C611" t="s">
        <v>126</v>
      </c>
      <c r="D611" t="s">
        <v>357</v>
      </c>
      <c r="E611" t="s">
        <v>306</v>
      </c>
      <c r="F611">
        <v>33302.800000000003</v>
      </c>
      <c r="G611">
        <v>17135.79</v>
      </c>
      <c r="H611">
        <v>5512.3</v>
      </c>
      <c r="I611">
        <v>1422.52</v>
      </c>
      <c r="J611" t="s">
        <v>41</v>
      </c>
      <c r="K611">
        <v>12</v>
      </c>
      <c r="L611">
        <v>6</v>
      </c>
      <c r="M611" t="s">
        <v>58</v>
      </c>
      <c r="N611" t="s">
        <v>105</v>
      </c>
    </row>
    <row r="612" spans="1:14" x14ac:dyDescent="0.25">
      <c r="A612" t="s">
        <v>82</v>
      </c>
      <c r="B612" t="s">
        <v>83</v>
      </c>
      <c r="C612" t="s">
        <v>80</v>
      </c>
      <c r="D612" t="s">
        <v>356</v>
      </c>
      <c r="E612" t="s">
        <v>318</v>
      </c>
      <c r="F612">
        <v>44292.69</v>
      </c>
      <c r="G612">
        <v>19895</v>
      </c>
      <c r="H612" t="s">
        <v>358</v>
      </c>
      <c r="I612">
        <v>41314.949999999997</v>
      </c>
      <c r="J612" t="s">
        <v>53</v>
      </c>
      <c r="K612">
        <v>8</v>
      </c>
      <c r="L612">
        <v>15</v>
      </c>
      <c r="M612" t="s">
        <v>37</v>
      </c>
      <c r="N612" t="s">
        <v>115</v>
      </c>
    </row>
    <row r="613" spans="1:14" x14ac:dyDescent="0.25">
      <c r="A613" t="s">
        <v>84</v>
      </c>
      <c r="B613" t="s">
        <v>85</v>
      </c>
      <c r="C613" t="s">
        <v>137</v>
      </c>
      <c r="D613" t="s">
        <v>356</v>
      </c>
      <c r="E613" t="s">
        <v>318</v>
      </c>
      <c r="F613">
        <v>18756.71</v>
      </c>
      <c r="G613">
        <v>11324.41</v>
      </c>
      <c r="H613">
        <v>65621.740000000005</v>
      </c>
      <c r="I613">
        <v>18831.84</v>
      </c>
      <c r="J613" t="s">
        <v>36</v>
      </c>
      <c r="K613">
        <v>9</v>
      </c>
      <c r="L613">
        <v>7</v>
      </c>
      <c r="M613" t="s">
        <v>30</v>
      </c>
      <c r="N613" t="s">
        <v>43</v>
      </c>
    </row>
    <row r="614" spans="1:14" x14ac:dyDescent="0.25">
      <c r="A614" t="s">
        <v>87</v>
      </c>
      <c r="B614" t="s">
        <v>88</v>
      </c>
      <c r="C614" t="s">
        <v>86</v>
      </c>
      <c r="D614" t="s">
        <v>357</v>
      </c>
      <c r="E614" t="s">
        <v>306</v>
      </c>
      <c r="F614">
        <v>29479.93</v>
      </c>
      <c r="G614">
        <v>13838.62</v>
      </c>
      <c r="H614">
        <v>124826.59</v>
      </c>
      <c r="I614">
        <v>37515.89</v>
      </c>
      <c r="J614" t="s">
        <v>41</v>
      </c>
      <c r="K614">
        <v>5</v>
      </c>
      <c r="L614">
        <v>12</v>
      </c>
      <c r="M614" t="s">
        <v>42</v>
      </c>
      <c r="N614" t="s">
        <v>43</v>
      </c>
    </row>
    <row r="615" spans="1:14" x14ac:dyDescent="0.25">
      <c r="A615" t="s">
        <v>90</v>
      </c>
      <c r="B615" t="s">
        <v>91</v>
      </c>
      <c r="C615" t="s">
        <v>89</v>
      </c>
      <c r="D615" t="s">
        <v>352</v>
      </c>
      <c r="E615" t="s">
        <v>306</v>
      </c>
      <c r="F615">
        <v>8700.39</v>
      </c>
      <c r="G615">
        <v>4895.78</v>
      </c>
      <c r="H615">
        <v>28085.27</v>
      </c>
      <c r="I615">
        <v>5811.16</v>
      </c>
      <c r="J615" t="s">
        <v>36</v>
      </c>
      <c r="K615">
        <v>12</v>
      </c>
      <c r="L615">
        <v>13</v>
      </c>
      <c r="M615" t="s">
        <v>20</v>
      </c>
      <c r="N615" t="s">
        <v>105</v>
      </c>
    </row>
    <row r="616" spans="1:14" x14ac:dyDescent="0.25">
      <c r="A616" t="s">
        <v>96</v>
      </c>
      <c r="B616" t="s">
        <v>97</v>
      </c>
      <c r="C616" t="s">
        <v>86</v>
      </c>
      <c r="D616" t="s">
        <v>356</v>
      </c>
      <c r="E616" t="s">
        <v>306</v>
      </c>
      <c r="F616">
        <v>16179.83</v>
      </c>
      <c r="G616">
        <v>8120.4</v>
      </c>
      <c r="H616">
        <v>61021.88</v>
      </c>
      <c r="I616">
        <v>16345.26</v>
      </c>
      <c r="J616" t="s">
        <v>19</v>
      </c>
      <c r="K616">
        <v>9</v>
      </c>
      <c r="L616">
        <v>13</v>
      </c>
      <c r="M616" t="s">
        <v>58</v>
      </c>
      <c r="N616" t="s">
        <v>125</v>
      </c>
    </row>
    <row r="617" spans="1:14" x14ac:dyDescent="0.25">
      <c r="A617" t="s">
        <v>14</v>
      </c>
      <c r="B617" t="s">
        <v>15</v>
      </c>
      <c r="C617" t="s">
        <v>34</v>
      </c>
      <c r="D617" t="s">
        <v>359</v>
      </c>
      <c r="E617" t="s">
        <v>306</v>
      </c>
      <c r="F617">
        <v>147487.35</v>
      </c>
      <c r="G617">
        <v>77574.58</v>
      </c>
      <c r="H617">
        <v>494955.37</v>
      </c>
      <c r="I617">
        <v>107965.95</v>
      </c>
      <c r="J617" t="s">
        <v>53</v>
      </c>
      <c r="K617">
        <v>3</v>
      </c>
      <c r="L617">
        <v>2</v>
      </c>
      <c r="M617" t="s">
        <v>30</v>
      </c>
    </row>
    <row r="618" spans="1:14" x14ac:dyDescent="0.25">
      <c r="A618" t="s">
        <v>21</v>
      </c>
      <c r="B618" t="s">
        <v>22</v>
      </c>
      <c r="C618" t="s">
        <v>16</v>
      </c>
      <c r="D618" t="s">
        <v>360</v>
      </c>
      <c r="E618" t="s">
        <v>306</v>
      </c>
      <c r="F618">
        <v>146430.73000000001</v>
      </c>
      <c r="G618">
        <v>105732.45</v>
      </c>
      <c r="H618">
        <v>551830.27</v>
      </c>
      <c r="I618">
        <v>189543.52</v>
      </c>
      <c r="J618" t="s">
        <v>19</v>
      </c>
      <c r="K618">
        <v>6</v>
      </c>
      <c r="L618">
        <v>6</v>
      </c>
      <c r="M618" t="s">
        <v>30</v>
      </c>
      <c r="N618" t="s">
        <v>105</v>
      </c>
    </row>
    <row r="619" spans="1:14" x14ac:dyDescent="0.25">
      <c r="A619" t="s">
        <v>27</v>
      </c>
      <c r="B619" t="s">
        <v>28</v>
      </c>
      <c r="C619" t="s">
        <v>46</v>
      </c>
      <c r="D619" t="s">
        <v>361</v>
      </c>
      <c r="E619" t="s">
        <v>306</v>
      </c>
      <c r="F619">
        <v>180433.25</v>
      </c>
      <c r="G619">
        <v>116537.41</v>
      </c>
      <c r="H619">
        <v>700070.01</v>
      </c>
      <c r="I619">
        <v>148626.54999999999</v>
      </c>
      <c r="J619" t="s">
        <v>77</v>
      </c>
      <c r="K619">
        <v>1</v>
      </c>
      <c r="L619">
        <v>5</v>
      </c>
      <c r="M619" t="s">
        <v>92</v>
      </c>
      <c r="N619" t="s">
        <v>115</v>
      </c>
    </row>
    <row r="620" spans="1:14" x14ac:dyDescent="0.25">
      <c r="A620" t="s">
        <v>32</v>
      </c>
      <c r="B620" t="s">
        <v>33</v>
      </c>
      <c r="C620" t="s">
        <v>16</v>
      </c>
      <c r="D620" t="s">
        <v>362</v>
      </c>
      <c r="E620" t="s">
        <v>306</v>
      </c>
      <c r="F620">
        <v>168746.8</v>
      </c>
      <c r="G620">
        <v>79864.7</v>
      </c>
      <c r="H620">
        <v>622690.79</v>
      </c>
      <c r="I620">
        <v>174474.16</v>
      </c>
      <c r="J620" t="s">
        <v>19</v>
      </c>
      <c r="K620">
        <v>5</v>
      </c>
      <c r="L620">
        <v>2</v>
      </c>
      <c r="M620" t="s">
        <v>54</v>
      </c>
    </row>
    <row r="621" spans="1:14" x14ac:dyDescent="0.25">
      <c r="A621" t="s">
        <v>39</v>
      </c>
      <c r="B621" t="s">
        <v>40</v>
      </c>
      <c r="C621" t="s">
        <v>111</v>
      </c>
      <c r="D621" t="s">
        <v>359</v>
      </c>
      <c r="E621" t="s">
        <v>306</v>
      </c>
      <c r="F621">
        <v>218913.28</v>
      </c>
      <c r="G621">
        <v>116337.91</v>
      </c>
      <c r="H621">
        <v>816877.7</v>
      </c>
      <c r="I621">
        <v>217485.36</v>
      </c>
      <c r="J621" t="s">
        <v>53</v>
      </c>
      <c r="K621">
        <v>5</v>
      </c>
      <c r="L621">
        <v>5</v>
      </c>
      <c r="M621" t="s">
        <v>42</v>
      </c>
      <c r="N621" t="s">
        <v>125</v>
      </c>
    </row>
    <row r="622" spans="1:14" x14ac:dyDescent="0.25">
      <c r="A622" t="s">
        <v>44</v>
      </c>
      <c r="B622" t="s">
        <v>45</v>
      </c>
      <c r="C622" t="s">
        <v>111</v>
      </c>
      <c r="D622" t="s">
        <v>363</v>
      </c>
      <c r="E622" t="s">
        <v>306</v>
      </c>
      <c r="F622">
        <v>124689.06</v>
      </c>
      <c r="G622">
        <v>67843.47</v>
      </c>
      <c r="H622">
        <v>367457.14</v>
      </c>
      <c r="I622">
        <v>108181.57</v>
      </c>
      <c r="J622" t="s">
        <v>53</v>
      </c>
      <c r="K622">
        <v>1</v>
      </c>
      <c r="L622">
        <v>3</v>
      </c>
      <c r="M622" t="s">
        <v>130</v>
      </c>
    </row>
    <row r="623" spans="1:14" x14ac:dyDescent="0.25">
      <c r="A623" t="s">
        <v>49</v>
      </c>
      <c r="B623" t="s">
        <v>50</v>
      </c>
      <c r="C623" t="s">
        <v>114</v>
      </c>
      <c r="D623" t="s">
        <v>360</v>
      </c>
      <c r="E623" t="s">
        <v>306</v>
      </c>
      <c r="F623">
        <v>55372.97</v>
      </c>
      <c r="G623">
        <v>41540.339999999997</v>
      </c>
      <c r="H623">
        <v>160081.54999999999</v>
      </c>
      <c r="I623">
        <v>50199.64</v>
      </c>
      <c r="J623" t="s">
        <v>25</v>
      </c>
      <c r="K623">
        <v>2</v>
      </c>
      <c r="L623">
        <v>6</v>
      </c>
      <c r="M623" t="s">
        <v>58</v>
      </c>
      <c r="N623" t="s">
        <v>73</v>
      </c>
    </row>
    <row r="624" spans="1:14" x14ac:dyDescent="0.25">
      <c r="A624" t="s">
        <v>55</v>
      </c>
      <c r="B624" t="s">
        <v>56</v>
      </c>
      <c r="C624" t="s">
        <v>51</v>
      </c>
      <c r="D624" t="s">
        <v>362</v>
      </c>
      <c r="E624" t="s">
        <v>306</v>
      </c>
      <c r="F624">
        <v>48373.94</v>
      </c>
      <c r="G624">
        <v>29790.91</v>
      </c>
      <c r="H624">
        <v>1753230</v>
      </c>
      <c r="I624">
        <v>43286.94</v>
      </c>
      <c r="J624" t="s">
        <v>41</v>
      </c>
      <c r="K624">
        <v>4</v>
      </c>
      <c r="L624">
        <v>6</v>
      </c>
      <c r="M624" t="s">
        <v>20</v>
      </c>
      <c r="N624" t="s">
        <v>31</v>
      </c>
    </row>
    <row r="625" spans="1:14" x14ac:dyDescent="0.25">
      <c r="A625" t="s">
        <v>59</v>
      </c>
      <c r="B625" t="s">
        <v>60</v>
      </c>
      <c r="C625" t="s">
        <v>70</v>
      </c>
      <c r="D625" t="s">
        <v>364</v>
      </c>
      <c r="E625" t="s">
        <v>318</v>
      </c>
      <c r="F625">
        <v>72276.160000000003</v>
      </c>
      <c r="G625">
        <v>26997.56</v>
      </c>
      <c r="H625" t="s">
        <v>365</v>
      </c>
      <c r="I625">
        <v>82761.27</v>
      </c>
      <c r="J625" t="s">
        <v>19</v>
      </c>
      <c r="K625">
        <v>3</v>
      </c>
      <c r="L625">
        <v>4</v>
      </c>
      <c r="M625" t="s">
        <v>58</v>
      </c>
    </row>
    <row r="626" spans="1:14" x14ac:dyDescent="0.25">
      <c r="A626" t="s">
        <v>62</v>
      </c>
      <c r="B626" t="s">
        <v>63</v>
      </c>
      <c r="C626" t="s">
        <v>76</v>
      </c>
      <c r="D626" t="s">
        <v>363</v>
      </c>
      <c r="E626" t="s">
        <v>306</v>
      </c>
      <c r="F626">
        <v>89215.75</v>
      </c>
      <c r="G626">
        <v>41205.49</v>
      </c>
      <c r="H626">
        <v>365701.76</v>
      </c>
      <c r="I626">
        <v>88794.69</v>
      </c>
      <c r="J626" t="s">
        <v>36</v>
      </c>
      <c r="K626">
        <v>3</v>
      </c>
      <c r="L626">
        <v>1</v>
      </c>
      <c r="M626" t="s">
        <v>58</v>
      </c>
    </row>
    <row r="627" spans="1:14" x14ac:dyDescent="0.25">
      <c r="A627" t="s">
        <v>68</v>
      </c>
      <c r="B627" t="s">
        <v>69</v>
      </c>
      <c r="C627" t="s">
        <v>76</v>
      </c>
      <c r="D627" t="s">
        <v>364</v>
      </c>
      <c r="E627" t="s">
        <v>321</v>
      </c>
      <c r="F627">
        <v>44713.599999999999</v>
      </c>
      <c r="G627">
        <v>26942.51</v>
      </c>
      <c r="H627">
        <v>174011.3</v>
      </c>
      <c r="I627">
        <v>51720.84</v>
      </c>
      <c r="J627" t="s">
        <v>25</v>
      </c>
      <c r="K627">
        <v>2</v>
      </c>
      <c r="L627">
        <v>5</v>
      </c>
      <c r="M627" t="s">
        <v>112</v>
      </c>
      <c r="N627" t="s">
        <v>105</v>
      </c>
    </row>
    <row r="628" spans="1:14" x14ac:dyDescent="0.25">
      <c r="A628" t="s">
        <v>74</v>
      </c>
      <c r="B628" t="s">
        <v>75</v>
      </c>
      <c r="C628" t="s">
        <v>61</v>
      </c>
      <c r="D628" t="s">
        <v>363</v>
      </c>
      <c r="E628" t="s">
        <v>306</v>
      </c>
      <c r="F628">
        <v>49980.73</v>
      </c>
      <c r="G628">
        <v>29529.22</v>
      </c>
      <c r="H628" t="s">
        <v>366</v>
      </c>
      <c r="I628">
        <v>40845.589999999997</v>
      </c>
      <c r="J628" t="s">
        <v>104</v>
      </c>
      <c r="K628">
        <v>6</v>
      </c>
      <c r="L628">
        <v>5</v>
      </c>
      <c r="M628" t="s">
        <v>20</v>
      </c>
    </row>
    <row r="629" spans="1:14" x14ac:dyDescent="0.25">
      <c r="A629" t="s">
        <v>78</v>
      </c>
      <c r="B629" t="s">
        <v>79</v>
      </c>
      <c r="C629" t="s">
        <v>126</v>
      </c>
      <c r="D629" t="s">
        <v>363</v>
      </c>
      <c r="E629" t="s">
        <v>306</v>
      </c>
      <c r="F629">
        <v>16830.89</v>
      </c>
      <c r="G629">
        <v>8525.34</v>
      </c>
      <c r="H629">
        <v>68769.919999999998</v>
      </c>
      <c r="I629">
        <v>18987.52</v>
      </c>
      <c r="J629" t="s">
        <v>19</v>
      </c>
      <c r="K629">
        <v>10</v>
      </c>
      <c r="L629">
        <v>7</v>
      </c>
      <c r="M629" t="s">
        <v>54</v>
      </c>
      <c r="N629" t="s">
        <v>65</v>
      </c>
    </row>
    <row r="630" spans="1:14" x14ac:dyDescent="0.25">
      <c r="A630" t="s">
        <v>82</v>
      </c>
      <c r="B630" t="s">
        <v>83</v>
      </c>
      <c r="C630" t="s">
        <v>137</v>
      </c>
      <c r="D630" t="s">
        <v>362</v>
      </c>
      <c r="E630" t="s">
        <v>306</v>
      </c>
      <c r="F630" t="s">
        <v>367</v>
      </c>
      <c r="G630">
        <v>9884.74</v>
      </c>
      <c r="H630" t="s">
        <v>368</v>
      </c>
      <c r="I630">
        <v>18364.580000000002</v>
      </c>
      <c r="J630" t="s">
        <v>36</v>
      </c>
      <c r="K630">
        <v>10</v>
      </c>
      <c r="L630">
        <v>7</v>
      </c>
      <c r="M630" t="s">
        <v>20</v>
      </c>
      <c r="N630" t="s">
        <v>65</v>
      </c>
    </row>
    <row r="631" spans="1:14" x14ac:dyDescent="0.25">
      <c r="A631" t="s">
        <v>84</v>
      </c>
      <c r="B631" t="s">
        <v>85</v>
      </c>
      <c r="C631" t="s">
        <v>80</v>
      </c>
      <c r="D631" t="s">
        <v>363</v>
      </c>
      <c r="E631" t="s">
        <v>306</v>
      </c>
      <c r="F631">
        <v>31100.52</v>
      </c>
      <c r="G631">
        <v>18770.900000000001</v>
      </c>
      <c r="H631">
        <v>113342.2</v>
      </c>
      <c r="I631">
        <v>35236.699999999997</v>
      </c>
      <c r="J631" t="s">
        <v>53</v>
      </c>
      <c r="K631">
        <v>11</v>
      </c>
      <c r="L631">
        <v>10</v>
      </c>
      <c r="M631" t="s">
        <v>37</v>
      </c>
      <c r="N631" t="s">
        <v>115</v>
      </c>
    </row>
    <row r="632" spans="1:14" x14ac:dyDescent="0.25">
      <c r="A632" t="s">
        <v>87</v>
      </c>
      <c r="B632" t="s">
        <v>88</v>
      </c>
      <c r="C632" t="s">
        <v>126</v>
      </c>
      <c r="D632" t="s">
        <v>359</v>
      </c>
      <c r="E632" t="s">
        <v>306</v>
      </c>
      <c r="F632">
        <v>22582.06</v>
      </c>
      <c r="G632">
        <v>11640.88</v>
      </c>
      <c r="H632">
        <v>108871.8</v>
      </c>
      <c r="I632">
        <v>23330.06</v>
      </c>
      <c r="J632" t="s">
        <v>25</v>
      </c>
      <c r="K632">
        <v>4</v>
      </c>
      <c r="L632">
        <v>7</v>
      </c>
      <c r="M632" t="s">
        <v>42</v>
      </c>
      <c r="N632" t="s">
        <v>113</v>
      </c>
    </row>
    <row r="633" spans="1:14" x14ac:dyDescent="0.25">
      <c r="A633" t="s">
        <v>90</v>
      </c>
      <c r="B633" t="s">
        <v>91</v>
      </c>
      <c r="C633" t="s">
        <v>126</v>
      </c>
      <c r="D633" t="s">
        <v>363</v>
      </c>
      <c r="E633" t="s">
        <v>306</v>
      </c>
      <c r="F633">
        <v>28086.44</v>
      </c>
      <c r="G633">
        <v>14775.81</v>
      </c>
      <c r="H633">
        <v>101009.16</v>
      </c>
      <c r="I633">
        <v>31420.639999999999</v>
      </c>
      <c r="J633" t="s">
        <v>36</v>
      </c>
      <c r="K633">
        <v>11</v>
      </c>
      <c r="L633">
        <v>9</v>
      </c>
      <c r="M633" t="s">
        <v>30</v>
      </c>
      <c r="N633" t="s">
        <v>65</v>
      </c>
    </row>
    <row r="634" spans="1:14" x14ac:dyDescent="0.25">
      <c r="A634" t="s">
        <v>93</v>
      </c>
      <c r="B634" t="s">
        <v>94</v>
      </c>
      <c r="C634" t="s">
        <v>137</v>
      </c>
      <c r="D634" t="s">
        <v>362</v>
      </c>
      <c r="E634" t="s">
        <v>321</v>
      </c>
      <c r="F634">
        <v>46223.92</v>
      </c>
      <c r="G634">
        <v>17336.12</v>
      </c>
      <c r="H634">
        <v>5824.48</v>
      </c>
      <c r="I634">
        <v>1464.29</v>
      </c>
      <c r="J634" t="s">
        <v>25</v>
      </c>
      <c r="K634">
        <v>3</v>
      </c>
      <c r="L634">
        <v>3</v>
      </c>
      <c r="M634" t="s">
        <v>42</v>
      </c>
      <c r="N634" t="s">
        <v>113</v>
      </c>
    </row>
    <row r="635" spans="1:14" x14ac:dyDescent="0.25">
      <c r="A635" t="s">
        <v>96</v>
      </c>
      <c r="B635" t="s">
        <v>97</v>
      </c>
      <c r="C635" t="s">
        <v>137</v>
      </c>
      <c r="D635" t="s">
        <v>363</v>
      </c>
      <c r="E635" t="s">
        <v>306</v>
      </c>
      <c r="F635">
        <v>15417.34</v>
      </c>
      <c r="G635">
        <v>7934.6</v>
      </c>
      <c r="H635">
        <v>71205.53</v>
      </c>
      <c r="I635">
        <v>12929.26</v>
      </c>
      <c r="J635" t="s">
        <v>53</v>
      </c>
      <c r="K635">
        <v>10</v>
      </c>
      <c r="L635">
        <v>4</v>
      </c>
      <c r="M635" t="s">
        <v>20</v>
      </c>
      <c r="N635" t="s">
        <v>125</v>
      </c>
    </row>
    <row r="636" spans="1:14" x14ac:dyDescent="0.25">
      <c r="A636" t="s">
        <v>14</v>
      </c>
      <c r="B636" t="s">
        <v>15</v>
      </c>
      <c r="C636" t="s">
        <v>118</v>
      </c>
      <c r="D636" t="s">
        <v>369</v>
      </c>
      <c r="E636" t="s">
        <v>321</v>
      </c>
      <c r="F636">
        <v>5104449</v>
      </c>
      <c r="G636">
        <v>50164.480000000003</v>
      </c>
      <c r="H636" t="s">
        <v>370</v>
      </c>
      <c r="I636">
        <v>111823.84</v>
      </c>
      <c r="J636" t="s">
        <v>104</v>
      </c>
      <c r="K636">
        <v>1</v>
      </c>
      <c r="L636">
        <v>3</v>
      </c>
      <c r="M636" t="s">
        <v>42</v>
      </c>
      <c r="N636" t="s">
        <v>43</v>
      </c>
    </row>
    <row r="637" spans="1:14" x14ac:dyDescent="0.25">
      <c r="A637" t="s">
        <v>21</v>
      </c>
      <c r="B637" t="s">
        <v>22</v>
      </c>
      <c r="C637" t="s">
        <v>118</v>
      </c>
      <c r="D637" t="s">
        <v>371</v>
      </c>
      <c r="E637" t="s">
        <v>318</v>
      </c>
      <c r="F637">
        <v>64030.25</v>
      </c>
      <c r="G637">
        <v>48016.55</v>
      </c>
      <c r="H637">
        <v>1767101</v>
      </c>
      <c r="I637">
        <v>38365.32</v>
      </c>
      <c r="J637" t="s">
        <v>36</v>
      </c>
      <c r="K637">
        <v>4</v>
      </c>
      <c r="L637">
        <v>3</v>
      </c>
      <c r="M637" t="s">
        <v>112</v>
      </c>
      <c r="N637" t="s">
        <v>43</v>
      </c>
    </row>
    <row r="638" spans="1:14" x14ac:dyDescent="0.25">
      <c r="A638" t="s">
        <v>27</v>
      </c>
      <c r="B638" t="s">
        <v>28</v>
      </c>
      <c r="C638" t="s">
        <v>29</v>
      </c>
      <c r="D638" t="s">
        <v>372</v>
      </c>
      <c r="E638" t="s">
        <v>306</v>
      </c>
      <c r="F638">
        <v>155598.04999999999</v>
      </c>
      <c r="G638">
        <v>90820.47</v>
      </c>
      <c r="H638">
        <v>574853.06000000006</v>
      </c>
      <c r="I638">
        <v>186732.19</v>
      </c>
      <c r="J638" t="s">
        <v>104</v>
      </c>
      <c r="K638">
        <v>2</v>
      </c>
      <c r="L638">
        <v>2</v>
      </c>
      <c r="M638" t="s">
        <v>54</v>
      </c>
      <c r="N638" t="s">
        <v>105</v>
      </c>
    </row>
    <row r="639" spans="1:14" x14ac:dyDescent="0.25">
      <c r="A639" t="s">
        <v>32</v>
      </c>
      <c r="B639" t="s">
        <v>33</v>
      </c>
      <c r="C639" t="s">
        <v>111</v>
      </c>
      <c r="D639" t="s">
        <v>373</v>
      </c>
      <c r="E639" t="s">
        <v>306</v>
      </c>
      <c r="F639">
        <v>105847.75</v>
      </c>
      <c r="G639">
        <v>54588.34</v>
      </c>
      <c r="H639">
        <v>441479.4</v>
      </c>
      <c r="I639">
        <v>122783.55</v>
      </c>
      <c r="J639" t="s">
        <v>53</v>
      </c>
      <c r="K639">
        <v>3</v>
      </c>
      <c r="L639">
        <v>8</v>
      </c>
      <c r="M639" t="s">
        <v>58</v>
      </c>
      <c r="N639" t="s">
        <v>38</v>
      </c>
    </row>
    <row r="640" spans="1:14" x14ac:dyDescent="0.25">
      <c r="A640" t="s">
        <v>39</v>
      </c>
      <c r="B640" t="s">
        <v>40</v>
      </c>
      <c r="C640" t="s">
        <v>111</v>
      </c>
      <c r="D640" t="s">
        <v>374</v>
      </c>
      <c r="E640" t="s">
        <v>306</v>
      </c>
      <c r="F640">
        <v>191187.28</v>
      </c>
      <c r="G640">
        <v>86581.9</v>
      </c>
      <c r="H640">
        <v>877252.84</v>
      </c>
      <c r="I640">
        <v>217076.05</v>
      </c>
      <c r="J640" t="s">
        <v>77</v>
      </c>
      <c r="K640">
        <v>1</v>
      </c>
      <c r="L640">
        <v>1</v>
      </c>
      <c r="M640" t="s">
        <v>20</v>
      </c>
      <c r="N640" t="s">
        <v>31</v>
      </c>
    </row>
    <row r="641" spans="1:14" x14ac:dyDescent="0.25">
      <c r="A641" t="s">
        <v>44</v>
      </c>
      <c r="B641" t="s">
        <v>45</v>
      </c>
      <c r="C641" t="s">
        <v>34</v>
      </c>
      <c r="D641" t="s">
        <v>372</v>
      </c>
      <c r="E641" t="s">
        <v>306</v>
      </c>
      <c r="F641">
        <v>96494.68</v>
      </c>
      <c r="G641">
        <v>58254.05</v>
      </c>
      <c r="H641">
        <v>322594.88</v>
      </c>
      <c r="I641">
        <v>72067.16</v>
      </c>
      <c r="J641" t="s">
        <v>19</v>
      </c>
      <c r="K641">
        <v>4</v>
      </c>
      <c r="L641">
        <v>6</v>
      </c>
      <c r="M641" t="s">
        <v>20</v>
      </c>
      <c r="N641" t="s">
        <v>113</v>
      </c>
    </row>
    <row r="642" spans="1:14" x14ac:dyDescent="0.25">
      <c r="A642" t="s">
        <v>49</v>
      </c>
      <c r="B642" t="s">
        <v>50</v>
      </c>
      <c r="C642" t="s">
        <v>57</v>
      </c>
      <c r="D642" t="s">
        <v>372</v>
      </c>
      <c r="E642" t="s">
        <v>306</v>
      </c>
      <c r="F642">
        <v>28340.21</v>
      </c>
      <c r="G642">
        <v>17743.330000000002</v>
      </c>
      <c r="H642">
        <v>79798.880000000005</v>
      </c>
      <c r="I642">
        <v>20503.21</v>
      </c>
      <c r="J642" t="s">
        <v>41</v>
      </c>
      <c r="K642">
        <v>5</v>
      </c>
      <c r="L642">
        <v>5</v>
      </c>
      <c r="M642" t="s">
        <v>112</v>
      </c>
      <c r="N642" t="s">
        <v>113</v>
      </c>
    </row>
    <row r="643" spans="1:14" x14ac:dyDescent="0.25">
      <c r="A643" t="s">
        <v>55</v>
      </c>
      <c r="B643" t="s">
        <v>56</v>
      </c>
      <c r="C643" t="s">
        <v>51</v>
      </c>
      <c r="D643" t="s">
        <v>372</v>
      </c>
      <c r="E643" t="s">
        <v>306</v>
      </c>
      <c r="F643">
        <v>74675.75</v>
      </c>
      <c r="G643">
        <v>45252.57</v>
      </c>
      <c r="H643">
        <v>336089.4</v>
      </c>
      <c r="I643">
        <v>73661.39</v>
      </c>
      <c r="J643" t="s">
        <v>77</v>
      </c>
      <c r="K643">
        <v>5</v>
      </c>
      <c r="L643">
        <v>1</v>
      </c>
      <c r="M643" t="s">
        <v>58</v>
      </c>
    </row>
    <row r="644" spans="1:14" x14ac:dyDescent="0.25">
      <c r="A644" t="s">
        <v>59</v>
      </c>
      <c r="B644" t="s">
        <v>60</v>
      </c>
      <c r="C644" t="s">
        <v>51</v>
      </c>
      <c r="D644" t="s">
        <v>372</v>
      </c>
      <c r="E644" t="s">
        <v>306</v>
      </c>
      <c r="F644">
        <v>58854.48</v>
      </c>
      <c r="G644">
        <v>22337.19</v>
      </c>
      <c r="H644">
        <v>279699.55</v>
      </c>
      <c r="I644">
        <v>92842.51</v>
      </c>
      <c r="J644" t="s">
        <v>104</v>
      </c>
      <c r="K644">
        <v>4</v>
      </c>
      <c r="L644">
        <v>7</v>
      </c>
      <c r="M644" t="s">
        <v>42</v>
      </c>
      <c r="N644" t="s">
        <v>115</v>
      </c>
    </row>
    <row r="645" spans="1:14" x14ac:dyDescent="0.25">
      <c r="A645" t="s">
        <v>62</v>
      </c>
      <c r="B645" t="s">
        <v>63</v>
      </c>
      <c r="C645" t="s">
        <v>51</v>
      </c>
      <c r="D645" t="s">
        <v>374</v>
      </c>
      <c r="E645" t="s">
        <v>321</v>
      </c>
      <c r="F645">
        <v>38418.199999999997</v>
      </c>
      <c r="G645">
        <v>18519.509999999998</v>
      </c>
      <c r="H645">
        <v>133622.16</v>
      </c>
      <c r="I645">
        <v>33570.11</v>
      </c>
      <c r="J645" t="s">
        <v>19</v>
      </c>
      <c r="K645">
        <v>5</v>
      </c>
      <c r="L645">
        <v>4</v>
      </c>
      <c r="M645" t="s">
        <v>42</v>
      </c>
      <c r="N645" t="s">
        <v>43</v>
      </c>
    </row>
    <row r="646" spans="1:14" x14ac:dyDescent="0.25">
      <c r="A646" t="s">
        <v>66</v>
      </c>
      <c r="B646" t="s">
        <v>67</v>
      </c>
      <c r="C646" t="s">
        <v>114</v>
      </c>
      <c r="D646" t="s">
        <v>372</v>
      </c>
      <c r="E646" t="s">
        <v>306</v>
      </c>
      <c r="F646">
        <v>38544.51</v>
      </c>
      <c r="G646">
        <v>19869.46</v>
      </c>
      <c r="H646">
        <v>146528.89000000001</v>
      </c>
      <c r="I646">
        <v>45597.13</v>
      </c>
      <c r="J646" t="s">
        <v>19</v>
      </c>
      <c r="K646">
        <v>5</v>
      </c>
      <c r="L646">
        <v>2</v>
      </c>
      <c r="M646" t="s">
        <v>20</v>
      </c>
      <c r="N646" t="s">
        <v>81</v>
      </c>
    </row>
    <row r="647" spans="1:14" x14ac:dyDescent="0.25">
      <c r="A647" t="s">
        <v>68</v>
      </c>
      <c r="B647" t="s">
        <v>69</v>
      </c>
      <c r="C647" t="s">
        <v>61</v>
      </c>
      <c r="D647" t="s">
        <v>375</v>
      </c>
      <c r="E647" t="s">
        <v>306</v>
      </c>
      <c r="F647">
        <v>86969.27</v>
      </c>
      <c r="G647">
        <v>53711.83</v>
      </c>
      <c r="H647">
        <v>241956.69</v>
      </c>
      <c r="I647">
        <v>67613.919999999998</v>
      </c>
      <c r="J647" t="s">
        <v>36</v>
      </c>
      <c r="K647">
        <v>6</v>
      </c>
      <c r="L647">
        <v>5</v>
      </c>
      <c r="M647" t="s">
        <v>177</v>
      </c>
      <c r="N647" t="s">
        <v>105</v>
      </c>
    </row>
    <row r="648" spans="1:14" x14ac:dyDescent="0.25">
      <c r="A648" t="s">
        <v>74</v>
      </c>
      <c r="B648" t="s">
        <v>75</v>
      </c>
      <c r="C648" t="s">
        <v>76</v>
      </c>
      <c r="D648" t="s">
        <v>369</v>
      </c>
      <c r="E648" t="s">
        <v>306</v>
      </c>
      <c r="F648">
        <v>69894.64</v>
      </c>
      <c r="G648">
        <v>44917.71</v>
      </c>
      <c r="H648">
        <v>184635.86</v>
      </c>
      <c r="I648">
        <v>57401.58</v>
      </c>
      <c r="J648" t="s">
        <v>53</v>
      </c>
      <c r="K648">
        <v>6</v>
      </c>
      <c r="L648">
        <v>7</v>
      </c>
      <c r="M648" t="s">
        <v>42</v>
      </c>
    </row>
    <row r="649" spans="1:14" x14ac:dyDescent="0.25">
      <c r="A649" t="s">
        <v>78</v>
      </c>
      <c r="B649" t="s">
        <v>79</v>
      </c>
      <c r="C649" t="s">
        <v>80</v>
      </c>
      <c r="D649" t="s">
        <v>373</v>
      </c>
      <c r="E649" t="s">
        <v>306</v>
      </c>
      <c r="F649">
        <v>21364.35</v>
      </c>
      <c r="G649">
        <v>12458.1</v>
      </c>
      <c r="H649">
        <v>106677.7</v>
      </c>
      <c r="I649">
        <v>28049.46</v>
      </c>
      <c r="J649" t="s">
        <v>104</v>
      </c>
      <c r="K649">
        <v>11</v>
      </c>
      <c r="L649">
        <v>3</v>
      </c>
      <c r="M649" t="s">
        <v>20</v>
      </c>
      <c r="N649" t="s">
        <v>127</v>
      </c>
    </row>
    <row r="650" spans="1:14" x14ac:dyDescent="0.25">
      <c r="A650" t="s">
        <v>82</v>
      </c>
      <c r="B650" t="s">
        <v>83</v>
      </c>
      <c r="C650" t="s">
        <v>80</v>
      </c>
      <c r="D650" t="s">
        <v>372</v>
      </c>
      <c r="E650" t="s">
        <v>332</v>
      </c>
      <c r="F650">
        <v>197929</v>
      </c>
      <c r="G650">
        <v>8243.27</v>
      </c>
      <c r="H650" t="s">
        <v>376</v>
      </c>
      <c r="I650">
        <v>16491.400000000001</v>
      </c>
      <c r="J650" t="s">
        <v>104</v>
      </c>
      <c r="K650">
        <v>9</v>
      </c>
      <c r="L650">
        <v>15</v>
      </c>
      <c r="M650" t="s">
        <v>54</v>
      </c>
      <c r="N650" t="s">
        <v>73</v>
      </c>
    </row>
    <row r="651" spans="1:14" x14ac:dyDescent="0.25">
      <c r="A651" t="s">
        <v>84</v>
      </c>
      <c r="B651" t="s">
        <v>85</v>
      </c>
      <c r="C651" t="s">
        <v>86</v>
      </c>
      <c r="D651" t="s">
        <v>371</v>
      </c>
      <c r="E651" t="s">
        <v>306</v>
      </c>
      <c r="F651">
        <v>29651.17</v>
      </c>
      <c r="G651">
        <v>18380.349999999999</v>
      </c>
      <c r="H651">
        <v>100709.38</v>
      </c>
      <c r="I651">
        <v>24160.62</v>
      </c>
      <c r="J651" t="s">
        <v>53</v>
      </c>
      <c r="K651">
        <v>5</v>
      </c>
      <c r="L651">
        <v>6</v>
      </c>
      <c r="M651" t="s">
        <v>30</v>
      </c>
    </row>
    <row r="652" spans="1:14" x14ac:dyDescent="0.25">
      <c r="A652" t="s">
        <v>87</v>
      </c>
      <c r="B652" t="s">
        <v>88</v>
      </c>
      <c r="C652" t="s">
        <v>86</v>
      </c>
      <c r="D652" t="s">
        <v>375</v>
      </c>
      <c r="E652" t="s">
        <v>306</v>
      </c>
      <c r="F652">
        <v>27999.03</v>
      </c>
      <c r="G652">
        <v>16972.830000000002</v>
      </c>
      <c r="H652">
        <v>129125.91</v>
      </c>
      <c r="I652">
        <v>30569.24</v>
      </c>
      <c r="J652" t="s">
        <v>41</v>
      </c>
      <c r="K652">
        <v>11</v>
      </c>
      <c r="L652">
        <v>4</v>
      </c>
      <c r="M652" t="s">
        <v>58</v>
      </c>
      <c r="N652" t="s">
        <v>38</v>
      </c>
    </row>
    <row r="653" spans="1:14" x14ac:dyDescent="0.25">
      <c r="A653" t="s">
        <v>90</v>
      </c>
      <c r="B653" t="s">
        <v>91</v>
      </c>
      <c r="C653" t="s">
        <v>80</v>
      </c>
      <c r="D653" t="s">
        <v>375</v>
      </c>
      <c r="E653" t="s">
        <v>318</v>
      </c>
      <c r="F653">
        <v>31111.35</v>
      </c>
      <c r="G653">
        <v>16097.02</v>
      </c>
      <c r="H653">
        <v>147450.71</v>
      </c>
      <c r="I653">
        <v>50587.75</v>
      </c>
      <c r="J653" t="s">
        <v>104</v>
      </c>
      <c r="K653">
        <v>7</v>
      </c>
      <c r="L653">
        <v>9</v>
      </c>
      <c r="M653" t="s">
        <v>58</v>
      </c>
      <c r="N653" t="s">
        <v>101</v>
      </c>
    </row>
    <row r="654" spans="1:14" x14ac:dyDescent="0.25">
      <c r="A654" t="s">
        <v>93</v>
      </c>
      <c r="B654" t="s">
        <v>94</v>
      </c>
      <c r="C654" t="s">
        <v>80</v>
      </c>
      <c r="D654" t="s">
        <v>372</v>
      </c>
      <c r="E654" t="s">
        <v>306</v>
      </c>
      <c r="F654">
        <v>37184.33</v>
      </c>
      <c r="G654">
        <v>16885.3</v>
      </c>
      <c r="H654">
        <v>159510.38</v>
      </c>
      <c r="I654">
        <v>39470.629999999997</v>
      </c>
      <c r="J654" t="s">
        <v>36</v>
      </c>
      <c r="K654">
        <v>8</v>
      </c>
      <c r="L654">
        <v>4</v>
      </c>
      <c r="M654" t="s">
        <v>42</v>
      </c>
      <c r="N654" t="s">
        <v>113</v>
      </c>
    </row>
    <row r="655" spans="1:14" x14ac:dyDescent="0.25">
      <c r="A655" t="s">
        <v>96</v>
      </c>
      <c r="B655" t="s">
        <v>97</v>
      </c>
      <c r="C655" t="s">
        <v>80</v>
      </c>
      <c r="D655" t="s">
        <v>371</v>
      </c>
      <c r="E655" t="s">
        <v>332</v>
      </c>
      <c r="F655">
        <v>30497.7</v>
      </c>
      <c r="G655">
        <v>15220.5</v>
      </c>
      <c r="H655">
        <v>109818.84</v>
      </c>
      <c r="I655">
        <v>22481.46</v>
      </c>
      <c r="J655" t="s">
        <v>77</v>
      </c>
      <c r="K655">
        <v>6</v>
      </c>
      <c r="L655">
        <v>5</v>
      </c>
      <c r="M655" t="s">
        <v>30</v>
      </c>
    </row>
    <row r="656" spans="1:14" x14ac:dyDescent="0.25">
      <c r="A656" t="s">
        <v>14</v>
      </c>
      <c r="B656" t="s">
        <v>15</v>
      </c>
      <c r="C656" t="s">
        <v>29</v>
      </c>
      <c r="D656" t="s">
        <v>377</v>
      </c>
      <c r="E656" t="s">
        <v>306</v>
      </c>
      <c r="F656">
        <v>160563.96</v>
      </c>
      <c r="G656">
        <v>84684.77</v>
      </c>
      <c r="H656">
        <v>685104.72</v>
      </c>
      <c r="I656">
        <v>216892.12</v>
      </c>
      <c r="J656" t="s">
        <v>19</v>
      </c>
      <c r="K656">
        <v>3</v>
      </c>
      <c r="L656">
        <v>5</v>
      </c>
      <c r="M656" t="s">
        <v>42</v>
      </c>
      <c r="N656" t="s">
        <v>105</v>
      </c>
    </row>
    <row r="657" spans="1:14" x14ac:dyDescent="0.25">
      <c r="A657" t="s">
        <v>21</v>
      </c>
      <c r="B657" t="s">
        <v>22</v>
      </c>
      <c r="C657" t="s">
        <v>29</v>
      </c>
      <c r="D657" t="s">
        <v>378</v>
      </c>
      <c r="E657" t="s">
        <v>306</v>
      </c>
      <c r="F657">
        <v>114066.96</v>
      </c>
      <c r="G657">
        <v>104218.3</v>
      </c>
      <c r="H657">
        <v>437834.59</v>
      </c>
      <c r="I657">
        <v>140312.82</v>
      </c>
      <c r="J657" t="s">
        <v>104</v>
      </c>
      <c r="K657">
        <v>2</v>
      </c>
      <c r="L657">
        <v>8</v>
      </c>
      <c r="M657" t="s">
        <v>54</v>
      </c>
      <c r="N657" t="s">
        <v>125</v>
      </c>
    </row>
    <row r="658" spans="1:14" x14ac:dyDescent="0.25">
      <c r="A658" t="s">
        <v>32</v>
      </c>
      <c r="B658" t="s">
        <v>33</v>
      </c>
      <c r="C658" t="s">
        <v>34</v>
      </c>
      <c r="D658" t="s">
        <v>378</v>
      </c>
      <c r="E658" t="s">
        <v>306</v>
      </c>
      <c r="F658">
        <v>171038.86</v>
      </c>
      <c r="G658">
        <v>93271.82</v>
      </c>
      <c r="H658">
        <v>454867.94</v>
      </c>
      <c r="I658">
        <v>155703.49</v>
      </c>
      <c r="J658" t="s">
        <v>36</v>
      </c>
      <c r="K658">
        <v>3</v>
      </c>
      <c r="L658">
        <v>3</v>
      </c>
      <c r="M658" t="s">
        <v>30</v>
      </c>
    </row>
    <row r="659" spans="1:14" x14ac:dyDescent="0.25">
      <c r="A659" t="s">
        <v>39</v>
      </c>
      <c r="B659" t="s">
        <v>40</v>
      </c>
      <c r="C659" t="s">
        <v>16</v>
      </c>
      <c r="D659" t="s">
        <v>377</v>
      </c>
      <c r="E659" t="s">
        <v>306</v>
      </c>
      <c r="F659">
        <v>122652.55</v>
      </c>
      <c r="G659">
        <v>74779.210000000006</v>
      </c>
      <c r="H659">
        <v>350857.76</v>
      </c>
      <c r="I659">
        <v>103792.39</v>
      </c>
      <c r="J659" t="s">
        <v>41</v>
      </c>
      <c r="K659">
        <v>3</v>
      </c>
      <c r="L659">
        <v>7</v>
      </c>
      <c r="M659" t="s">
        <v>54</v>
      </c>
      <c r="N659" t="s">
        <v>101</v>
      </c>
    </row>
    <row r="660" spans="1:14" x14ac:dyDescent="0.25">
      <c r="A660" t="s">
        <v>44</v>
      </c>
      <c r="B660" t="s">
        <v>45</v>
      </c>
      <c r="C660" t="s">
        <v>46</v>
      </c>
      <c r="D660" t="s">
        <v>379</v>
      </c>
      <c r="E660" t="s">
        <v>332</v>
      </c>
      <c r="F660">
        <v>164213.57</v>
      </c>
      <c r="G660">
        <v>79786.14</v>
      </c>
      <c r="H660">
        <v>422639.56</v>
      </c>
      <c r="I660">
        <v>128428.92</v>
      </c>
      <c r="J660" t="s">
        <v>36</v>
      </c>
      <c r="K660">
        <v>3</v>
      </c>
      <c r="L660">
        <v>3</v>
      </c>
      <c r="M660" t="s">
        <v>20</v>
      </c>
      <c r="N660" t="s">
        <v>125</v>
      </c>
    </row>
    <row r="661" spans="1:14" x14ac:dyDescent="0.25">
      <c r="A661" t="s">
        <v>49</v>
      </c>
      <c r="B661" t="s">
        <v>50</v>
      </c>
      <c r="C661" t="s">
        <v>114</v>
      </c>
      <c r="D661" t="s">
        <v>380</v>
      </c>
      <c r="E661" t="s">
        <v>306</v>
      </c>
      <c r="F661">
        <v>64667.92</v>
      </c>
      <c r="G661">
        <v>43877.88</v>
      </c>
      <c r="H661">
        <v>218448.36</v>
      </c>
      <c r="I661">
        <v>42349.85</v>
      </c>
      <c r="J661" t="s">
        <v>77</v>
      </c>
      <c r="K661">
        <v>4</v>
      </c>
      <c r="L661">
        <v>4</v>
      </c>
      <c r="M661" t="s">
        <v>54</v>
      </c>
      <c r="N661" t="s">
        <v>113</v>
      </c>
    </row>
    <row r="662" spans="1:14" x14ac:dyDescent="0.25">
      <c r="A662" t="s">
        <v>59</v>
      </c>
      <c r="B662" t="s">
        <v>60</v>
      </c>
      <c r="C662" t="s">
        <v>76</v>
      </c>
      <c r="D662" t="s">
        <v>380</v>
      </c>
      <c r="E662" t="s">
        <v>306</v>
      </c>
      <c r="F662">
        <v>42940.55</v>
      </c>
      <c r="G662">
        <v>19687.97</v>
      </c>
      <c r="H662">
        <v>127585.17</v>
      </c>
      <c r="I662">
        <v>26908.19</v>
      </c>
      <c r="J662" t="s">
        <v>41</v>
      </c>
      <c r="K662">
        <v>2</v>
      </c>
      <c r="L662">
        <v>3</v>
      </c>
      <c r="M662" t="s">
        <v>112</v>
      </c>
    </row>
    <row r="663" spans="1:14" x14ac:dyDescent="0.25">
      <c r="A663" t="s">
        <v>62</v>
      </c>
      <c r="B663" t="s">
        <v>63</v>
      </c>
      <c r="C663" t="s">
        <v>57</v>
      </c>
      <c r="D663" t="s">
        <v>380</v>
      </c>
      <c r="E663" t="s">
        <v>332</v>
      </c>
      <c r="F663">
        <v>79139.73</v>
      </c>
      <c r="G663">
        <v>36226.589999999997</v>
      </c>
      <c r="H663">
        <v>357554.24</v>
      </c>
      <c r="I663">
        <v>82074.17</v>
      </c>
      <c r="J663" t="s">
        <v>25</v>
      </c>
      <c r="K663">
        <v>3</v>
      </c>
      <c r="L663">
        <v>2</v>
      </c>
      <c r="M663" t="s">
        <v>54</v>
      </c>
    </row>
    <row r="664" spans="1:14" x14ac:dyDescent="0.25">
      <c r="A664" t="s">
        <v>66</v>
      </c>
      <c r="B664" t="s">
        <v>67</v>
      </c>
      <c r="C664" t="s">
        <v>51</v>
      </c>
      <c r="D664" t="s">
        <v>377</v>
      </c>
      <c r="E664" t="s">
        <v>306</v>
      </c>
      <c r="F664">
        <v>77043.759999999995</v>
      </c>
      <c r="G664">
        <v>44973.599999999999</v>
      </c>
      <c r="H664">
        <v>257777.62</v>
      </c>
      <c r="I664">
        <v>56893.26</v>
      </c>
      <c r="J664" t="s">
        <v>53</v>
      </c>
      <c r="K664">
        <v>4</v>
      </c>
      <c r="L664">
        <v>2</v>
      </c>
      <c r="M664" t="s">
        <v>20</v>
      </c>
    </row>
    <row r="665" spans="1:14" x14ac:dyDescent="0.25">
      <c r="A665" t="s">
        <v>68</v>
      </c>
      <c r="B665" t="s">
        <v>69</v>
      </c>
      <c r="C665" t="s">
        <v>114</v>
      </c>
      <c r="D665" t="s">
        <v>379</v>
      </c>
      <c r="E665" t="s">
        <v>306</v>
      </c>
      <c r="F665">
        <v>61190.63</v>
      </c>
      <c r="G665">
        <v>31458.75</v>
      </c>
      <c r="H665">
        <v>268768.13</v>
      </c>
      <c r="I665">
        <v>61288.66</v>
      </c>
      <c r="J665" t="s">
        <v>25</v>
      </c>
      <c r="K665">
        <v>2</v>
      </c>
      <c r="L665">
        <v>7</v>
      </c>
      <c r="M665" t="s">
        <v>58</v>
      </c>
    </row>
    <row r="666" spans="1:14" x14ac:dyDescent="0.25">
      <c r="A666" t="s">
        <v>74</v>
      </c>
      <c r="B666" t="s">
        <v>75</v>
      </c>
      <c r="C666" t="s">
        <v>57</v>
      </c>
      <c r="D666" t="s">
        <v>380</v>
      </c>
      <c r="E666" t="s">
        <v>306</v>
      </c>
      <c r="F666">
        <v>59856.88</v>
      </c>
      <c r="G666">
        <v>30373.7</v>
      </c>
      <c r="H666" t="s">
        <v>381</v>
      </c>
      <c r="I666">
        <v>3326.9</v>
      </c>
      <c r="J666" t="s">
        <v>25</v>
      </c>
      <c r="K666">
        <v>5</v>
      </c>
      <c r="L666">
        <v>1</v>
      </c>
      <c r="M666" t="s">
        <v>54</v>
      </c>
      <c r="N666" t="s">
        <v>101</v>
      </c>
    </row>
    <row r="667" spans="1:14" x14ac:dyDescent="0.25">
      <c r="A667" t="s">
        <v>78</v>
      </c>
      <c r="B667" t="s">
        <v>79</v>
      </c>
      <c r="C667" t="s">
        <v>126</v>
      </c>
      <c r="D667" t="s">
        <v>380</v>
      </c>
      <c r="E667" t="s">
        <v>306</v>
      </c>
      <c r="F667">
        <v>22519.62</v>
      </c>
      <c r="G667">
        <v>13215.26</v>
      </c>
      <c r="H667">
        <v>97878.15</v>
      </c>
      <c r="I667">
        <v>20584.689999999999</v>
      </c>
      <c r="J667" t="s">
        <v>25</v>
      </c>
      <c r="K667">
        <v>7</v>
      </c>
      <c r="L667">
        <v>8</v>
      </c>
      <c r="M667" t="s">
        <v>30</v>
      </c>
      <c r="N667" t="s">
        <v>101</v>
      </c>
    </row>
    <row r="668" spans="1:14" x14ac:dyDescent="0.25">
      <c r="A668" t="s">
        <v>82</v>
      </c>
      <c r="B668" t="s">
        <v>83</v>
      </c>
      <c r="C668" t="s">
        <v>126</v>
      </c>
      <c r="D668" t="s">
        <v>377</v>
      </c>
      <c r="E668" t="s">
        <v>332</v>
      </c>
      <c r="F668" t="s">
        <v>382</v>
      </c>
      <c r="G668">
        <v>15468.99</v>
      </c>
      <c r="H668">
        <v>3222.19</v>
      </c>
      <c r="I668">
        <v>1025.68</v>
      </c>
      <c r="J668" t="s">
        <v>36</v>
      </c>
      <c r="K668">
        <v>7</v>
      </c>
      <c r="L668">
        <v>3</v>
      </c>
      <c r="M668" t="s">
        <v>130</v>
      </c>
      <c r="N668" t="s">
        <v>65</v>
      </c>
    </row>
    <row r="669" spans="1:14" x14ac:dyDescent="0.25">
      <c r="A669" t="s">
        <v>84</v>
      </c>
      <c r="B669" t="s">
        <v>85</v>
      </c>
      <c r="C669" t="s">
        <v>86</v>
      </c>
      <c r="D669" t="s">
        <v>383</v>
      </c>
      <c r="E669" t="s">
        <v>332</v>
      </c>
      <c r="F669">
        <v>271074</v>
      </c>
      <c r="G669">
        <v>13912.01</v>
      </c>
      <c r="H669">
        <v>117981.05</v>
      </c>
      <c r="I669">
        <v>35081.410000000003</v>
      </c>
      <c r="J669" t="s">
        <v>19</v>
      </c>
      <c r="K669">
        <v>8</v>
      </c>
      <c r="L669">
        <v>12</v>
      </c>
      <c r="M669" t="s">
        <v>130</v>
      </c>
      <c r="N669" t="s">
        <v>105</v>
      </c>
    </row>
    <row r="670" spans="1:14" x14ac:dyDescent="0.25">
      <c r="A670" t="s">
        <v>90</v>
      </c>
      <c r="B670" t="s">
        <v>91</v>
      </c>
      <c r="C670" t="s">
        <v>86</v>
      </c>
      <c r="D670" t="s">
        <v>384</v>
      </c>
      <c r="E670" t="s">
        <v>306</v>
      </c>
      <c r="F670">
        <v>12290.94</v>
      </c>
      <c r="G670">
        <v>5694.39</v>
      </c>
      <c r="H670">
        <v>40786.839999999997</v>
      </c>
      <c r="I670">
        <v>9120.1299999999992</v>
      </c>
      <c r="J670" t="s">
        <v>41</v>
      </c>
      <c r="K670">
        <v>12</v>
      </c>
      <c r="L670">
        <v>10</v>
      </c>
      <c r="M670" t="s">
        <v>20</v>
      </c>
      <c r="N670" t="s">
        <v>26</v>
      </c>
    </row>
    <row r="671" spans="1:14" x14ac:dyDescent="0.25">
      <c r="A671" t="s">
        <v>93</v>
      </c>
      <c r="B671" t="s">
        <v>94</v>
      </c>
      <c r="C671" t="s">
        <v>86</v>
      </c>
      <c r="D671" t="s">
        <v>378</v>
      </c>
      <c r="E671" t="s">
        <v>332</v>
      </c>
      <c r="F671">
        <v>30013.64</v>
      </c>
      <c r="G671">
        <v>11661.67</v>
      </c>
      <c r="H671">
        <v>3830.12</v>
      </c>
      <c r="I671">
        <v>743.86</v>
      </c>
      <c r="J671" t="s">
        <v>41</v>
      </c>
      <c r="K671">
        <v>3</v>
      </c>
      <c r="L671">
        <v>3</v>
      </c>
      <c r="M671" t="s">
        <v>54</v>
      </c>
      <c r="N671" t="s">
        <v>101</v>
      </c>
    </row>
    <row r="672" spans="1:14" x14ac:dyDescent="0.25">
      <c r="A672" t="s">
        <v>96</v>
      </c>
      <c r="B672" t="s">
        <v>97</v>
      </c>
      <c r="C672" t="s">
        <v>116</v>
      </c>
      <c r="D672" t="s">
        <v>379</v>
      </c>
      <c r="E672" t="s">
        <v>306</v>
      </c>
      <c r="F672">
        <v>9181.4599999999991</v>
      </c>
      <c r="G672">
        <v>4412.08</v>
      </c>
      <c r="H672">
        <v>44769.15</v>
      </c>
      <c r="I672">
        <v>10723.1</v>
      </c>
      <c r="J672" t="s">
        <v>19</v>
      </c>
      <c r="K672">
        <v>5</v>
      </c>
      <c r="L672">
        <v>15</v>
      </c>
      <c r="M672" t="s">
        <v>112</v>
      </c>
      <c r="N672" t="s">
        <v>110</v>
      </c>
    </row>
    <row r="673" spans="1:14" x14ac:dyDescent="0.25">
      <c r="A673" t="s">
        <v>21</v>
      </c>
      <c r="B673" t="s">
        <v>22</v>
      </c>
      <c r="C673" t="s">
        <v>34</v>
      </c>
      <c r="D673" t="s">
        <v>385</v>
      </c>
      <c r="E673" t="s">
        <v>306</v>
      </c>
      <c r="F673">
        <v>152762.45000000001</v>
      </c>
      <c r="G673">
        <v>95517.64</v>
      </c>
      <c r="H673">
        <v>403565.22</v>
      </c>
      <c r="I673">
        <v>100765.03</v>
      </c>
      <c r="J673" t="s">
        <v>77</v>
      </c>
      <c r="K673">
        <v>5</v>
      </c>
      <c r="L673">
        <v>6</v>
      </c>
      <c r="M673" t="s">
        <v>58</v>
      </c>
      <c r="N673" t="s">
        <v>115</v>
      </c>
    </row>
    <row r="674" spans="1:14" x14ac:dyDescent="0.25">
      <c r="A674" t="s">
        <v>27</v>
      </c>
      <c r="B674" t="s">
        <v>28</v>
      </c>
      <c r="C674" t="s">
        <v>118</v>
      </c>
      <c r="D674" t="s">
        <v>386</v>
      </c>
      <c r="E674" t="s">
        <v>306</v>
      </c>
      <c r="F674">
        <v>187617.36</v>
      </c>
      <c r="G674">
        <v>92852.51</v>
      </c>
      <c r="H674">
        <v>733414.44</v>
      </c>
      <c r="I674">
        <v>212915.09</v>
      </c>
      <c r="J674" t="s">
        <v>36</v>
      </c>
      <c r="K674">
        <v>4</v>
      </c>
      <c r="L674">
        <v>1</v>
      </c>
      <c r="M674" t="s">
        <v>37</v>
      </c>
      <c r="N674" t="s">
        <v>95</v>
      </c>
    </row>
    <row r="675" spans="1:14" x14ac:dyDescent="0.25">
      <c r="A675" t="s">
        <v>32</v>
      </c>
      <c r="B675" t="s">
        <v>33</v>
      </c>
      <c r="C675" t="s">
        <v>111</v>
      </c>
      <c r="D675" t="s">
        <v>387</v>
      </c>
      <c r="E675" t="s">
        <v>306</v>
      </c>
      <c r="F675" t="s">
        <v>388</v>
      </c>
      <c r="G675">
        <v>106508.58</v>
      </c>
      <c r="H675">
        <v>649680.87</v>
      </c>
      <c r="I675">
        <v>132891.74</v>
      </c>
      <c r="J675" t="s">
        <v>19</v>
      </c>
      <c r="K675">
        <v>6</v>
      </c>
      <c r="L675">
        <v>8</v>
      </c>
      <c r="M675" t="s">
        <v>20</v>
      </c>
    </row>
    <row r="676" spans="1:14" x14ac:dyDescent="0.25">
      <c r="A676" t="s">
        <v>39</v>
      </c>
      <c r="B676" t="s">
        <v>40</v>
      </c>
      <c r="C676" t="s">
        <v>118</v>
      </c>
      <c r="D676" t="s">
        <v>385</v>
      </c>
      <c r="E676" t="s">
        <v>306</v>
      </c>
      <c r="F676">
        <v>218248.51</v>
      </c>
      <c r="G676">
        <v>125558.36</v>
      </c>
      <c r="H676">
        <v>1059531.6499999999</v>
      </c>
      <c r="I676">
        <v>265956.59000000003</v>
      </c>
      <c r="J676" t="s">
        <v>19</v>
      </c>
      <c r="K676">
        <v>6</v>
      </c>
      <c r="L676">
        <v>4</v>
      </c>
      <c r="M676" t="s">
        <v>20</v>
      </c>
      <c r="N676" t="s">
        <v>101</v>
      </c>
    </row>
    <row r="677" spans="1:14" x14ac:dyDescent="0.25">
      <c r="A677" t="s">
        <v>44</v>
      </c>
      <c r="B677" t="s">
        <v>45</v>
      </c>
      <c r="C677" t="s">
        <v>29</v>
      </c>
      <c r="D677" t="s">
        <v>389</v>
      </c>
      <c r="E677" t="s">
        <v>306</v>
      </c>
      <c r="F677">
        <v>212720.7</v>
      </c>
      <c r="G677">
        <v>129084.27</v>
      </c>
      <c r="H677">
        <v>1010611.76</v>
      </c>
      <c r="I677">
        <v>313164.34999999998</v>
      </c>
      <c r="J677" t="s">
        <v>53</v>
      </c>
      <c r="K677">
        <v>4</v>
      </c>
      <c r="L677">
        <v>6</v>
      </c>
      <c r="M677" t="s">
        <v>42</v>
      </c>
    </row>
    <row r="678" spans="1:14" x14ac:dyDescent="0.25">
      <c r="A678" t="s">
        <v>49</v>
      </c>
      <c r="B678" t="s">
        <v>50</v>
      </c>
      <c r="C678" t="s">
        <v>114</v>
      </c>
      <c r="D678" t="s">
        <v>387</v>
      </c>
      <c r="E678" t="s">
        <v>306</v>
      </c>
      <c r="F678">
        <v>29837.14</v>
      </c>
      <c r="G678">
        <v>24420.46</v>
      </c>
      <c r="H678">
        <v>88043.07</v>
      </c>
      <c r="I678">
        <v>26234.62</v>
      </c>
      <c r="J678" t="s">
        <v>41</v>
      </c>
      <c r="K678">
        <v>4</v>
      </c>
      <c r="L678">
        <v>7</v>
      </c>
      <c r="M678" t="s">
        <v>58</v>
      </c>
      <c r="N678" t="s">
        <v>43</v>
      </c>
    </row>
    <row r="679" spans="1:14" x14ac:dyDescent="0.25">
      <c r="A679" t="s">
        <v>55</v>
      </c>
      <c r="B679" t="s">
        <v>56</v>
      </c>
      <c r="C679" t="s">
        <v>51</v>
      </c>
      <c r="D679" t="s">
        <v>385</v>
      </c>
      <c r="E679" t="s">
        <v>321</v>
      </c>
      <c r="F679">
        <v>59201.1</v>
      </c>
      <c r="G679">
        <v>35679.230000000003</v>
      </c>
      <c r="H679">
        <v>248080.64000000001</v>
      </c>
      <c r="I679">
        <v>48270.91</v>
      </c>
      <c r="J679" t="s">
        <v>36</v>
      </c>
      <c r="K679">
        <v>1</v>
      </c>
      <c r="L679">
        <v>1</v>
      </c>
      <c r="M679" t="s">
        <v>177</v>
      </c>
      <c r="N679" t="s">
        <v>26</v>
      </c>
    </row>
    <row r="680" spans="1:14" x14ac:dyDescent="0.25">
      <c r="A680" t="s">
        <v>59</v>
      </c>
      <c r="B680" t="s">
        <v>60</v>
      </c>
      <c r="C680" t="s">
        <v>57</v>
      </c>
      <c r="D680" t="s">
        <v>389</v>
      </c>
      <c r="E680" t="s">
        <v>306</v>
      </c>
      <c r="F680">
        <v>116924.44</v>
      </c>
      <c r="G680">
        <v>46083.81</v>
      </c>
      <c r="H680">
        <v>377005.63</v>
      </c>
      <c r="I680">
        <v>103872.92</v>
      </c>
      <c r="J680" t="s">
        <v>41</v>
      </c>
      <c r="K680">
        <v>2</v>
      </c>
      <c r="L680">
        <v>3</v>
      </c>
      <c r="M680" t="s">
        <v>30</v>
      </c>
      <c r="N680" t="s">
        <v>127</v>
      </c>
    </row>
    <row r="681" spans="1:14" x14ac:dyDescent="0.25">
      <c r="A681" t="s">
        <v>62</v>
      </c>
      <c r="B681" t="s">
        <v>63</v>
      </c>
      <c r="C681" t="s">
        <v>61</v>
      </c>
      <c r="D681" t="s">
        <v>387</v>
      </c>
      <c r="E681" t="s">
        <v>306</v>
      </c>
      <c r="F681" t="s">
        <v>390</v>
      </c>
      <c r="G681">
        <v>23323.29</v>
      </c>
      <c r="H681">
        <v>182376.74</v>
      </c>
      <c r="I681">
        <v>47613.02</v>
      </c>
      <c r="J681" t="s">
        <v>36</v>
      </c>
      <c r="K681">
        <v>1</v>
      </c>
      <c r="L681">
        <v>3</v>
      </c>
      <c r="M681" t="s">
        <v>42</v>
      </c>
      <c r="N681" t="s">
        <v>26</v>
      </c>
    </row>
    <row r="682" spans="1:14" x14ac:dyDescent="0.25">
      <c r="A682" t="s">
        <v>66</v>
      </c>
      <c r="B682" t="s">
        <v>67</v>
      </c>
      <c r="C682" t="s">
        <v>114</v>
      </c>
      <c r="D682" t="s">
        <v>387</v>
      </c>
      <c r="E682" t="s">
        <v>306</v>
      </c>
      <c r="F682">
        <v>34133.4</v>
      </c>
      <c r="G682">
        <v>17408.75</v>
      </c>
      <c r="H682">
        <v>163564.18</v>
      </c>
      <c r="I682">
        <v>55440.88</v>
      </c>
      <c r="J682" t="s">
        <v>41</v>
      </c>
      <c r="K682">
        <v>6</v>
      </c>
      <c r="L682">
        <v>7</v>
      </c>
      <c r="M682" t="s">
        <v>42</v>
      </c>
      <c r="N682" t="s">
        <v>95</v>
      </c>
    </row>
    <row r="683" spans="1:14" x14ac:dyDescent="0.25">
      <c r="A683" t="s">
        <v>68</v>
      </c>
      <c r="B683" t="s">
        <v>69</v>
      </c>
      <c r="C683" t="s">
        <v>61</v>
      </c>
      <c r="D683" t="s">
        <v>389</v>
      </c>
      <c r="E683" t="s">
        <v>306</v>
      </c>
      <c r="F683">
        <v>41521.39</v>
      </c>
      <c r="G683">
        <v>23006.43</v>
      </c>
      <c r="H683">
        <v>154626.59</v>
      </c>
      <c r="I683">
        <v>29199.98</v>
      </c>
      <c r="J683" t="s">
        <v>36</v>
      </c>
      <c r="K683">
        <v>2</v>
      </c>
      <c r="L683">
        <v>1</v>
      </c>
      <c r="M683" t="s">
        <v>99</v>
      </c>
    </row>
    <row r="684" spans="1:14" x14ac:dyDescent="0.25">
      <c r="A684" t="s">
        <v>78</v>
      </c>
      <c r="B684" t="s">
        <v>79</v>
      </c>
      <c r="C684" t="s">
        <v>89</v>
      </c>
      <c r="D684" t="s">
        <v>389</v>
      </c>
      <c r="E684" t="s">
        <v>306</v>
      </c>
      <c r="F684">
        <v>33016.720000000001</v>
      </c>
      <c r="G684">
        <v>18645.55</v>
      </c>
      <c r="H684">
        <v>113963.08</v>
      </c>
      <c r="I684">
        <v>27875.7</v>
      </c>
      <c r="J684" t="s">
        <v>36</v>
      </c>
      <c r="K684">
        <v>2</v>
      </c>
      <c r="L684">
        <v>6</v>
      </c>
      <c r="M684" t="s">
        <v>42</v>
      </c>
      <c r="N684" t="s">
        <v>43</v>
      </c>
    </row>
    <row r="685" spans="1:14" x14ac:dyDescent="0.25">
      <c r="A685" t="s">
        <v>82</v>
      </c>
      <c r="B685" t="s">
        <v>83</v>
      </c>
      <c r="C685" t="s">
        <v>137</v>
      </c>
      <c r="D685" t="s">
        <v>387</v>
      </c>
      <c r="E685" t="s">
        <v>306</v>
      </c>
      <c r="F685">
        <v>36981.199999999997</v>
      </c>
      <c r="G685">
        <v>13799.5</v>
      </c>
      <c r="H685">
        <v>177396.59</v>
      </c>
      <c r="I685">
        <v>52022.94</v>
      </c>
      <c r="J685" t="s">
        <v>41</v>
      </c>
      <c r="K685">
        <v>7</v>
      </c>
      <c r="L685">
        <v>9</v>
      </c>
      <c r="M685" t="s">
        <v>30</v>
      </c>
      <c r="N685" t="s">
        <v>26</v>
      </c>
    </row>
    <row r="686" spans="1:14" x14ac:dyDescent="0.25">
      <c r="A686" t="s">
        <v>84</v>
      </c>
      <c r="B686" t="s">
        <v>85</v>
      </c>
      <c r="C686" t="s">
        <v>89</v>
      </c>
      <c r="D686" t="s">
        <v>387</v>
      </c>
      <c r="E686" t="s">
        <v>306</v>
      </c>
      <c r="F686">
        <v>8260.42</v>
      </c>
      <c r="G686">
        <v>5050.3999999999996</v>
      </c>
      <c r="H686">
        <v>39421.03</v>
      </c>
      <c r="I686">
        <v>11001.16</v>
      </c>
      <c r="J686" t="s">
        <v>41</v>
      </c>
      <c r="K686">
        <v>9</v>
      </c>
      <c r="L686">
        <v>15</v>
      </c>
      <c r="M686" t="s">
        <v>99</v>
      </c>
      <c r="N686" t="s">
        <v>26</v>
      </c>
    </row>
    <row r="687" spans="1:14" x14ac:dyDescent="0.25">
      <c r="A687" t="s">
        <v>87</v>
      </c>
      <c r="B687" t="s">
        <v>88</v>
      </c>
      <c r="C687" t="s">
        <v>89</v>
      </c>
      <c r="D687" t="s">
        <v>391</v>
      </c>
      <c r="E687" t="s">
        <v>306</v>
      </c>
      <c r="F687">
        <v>10472.82</v>
      </c>
      <c r="G687">
        <v>6148.8</v>
      </c>
      <c r="H687">
        <v>27491.119999999999</v>
      </c>
      <c r="I687">
        <v>6445.81</v>
      </c>
      <c r="J687" t="s">
        <v>104</v>
      </c>
      <c r="K687">
        <v>10</v>
      </c>
      <c r="L687">
        <v>5</v>
      </c>
      <c r="M687" t="s">
        <v>58</v>
      </c>
      <c r="N687" t="s">
        <v>110</v>
      </c>
    </row>
    <row r="688" spans="1:14" x14ac:dyDescent="0.25">
      <c r="A688" t="s">
        <v>90</v>
      </c>
      <c r="B688" t="s">
        <v>91</v>
      </c>
      <c r="C688" t="s">
        <v>126</v>
      </c>
      <c r="D688" t="s">
        <v>387</v>
      </c>
      <c r="E688" t="s">
        <v>308</v>
      </c>
      <c r="F688">
        <v>8170.46</v>
      </c>
      <c r="G688">
        <v>3999.8</v>
      </c>
      <c r="H688">
        <v>38363.93</v>
      </c>
      <c r="I688">
        <v>8140.39</v>
      </c>
      <c r="J688" t="s">
        <v>77</v>
      </c>
      <c r="K688">
        <v>3</v>
      </c>
      <c r="L688">
        <v>4</v>
      </c>
      <c r="M688" t="s">
        <v>30</v>
      </c>
      <c r="N688" t="s">
        <v>73</v>
      </c>
    </row>
    <row r="689" spans="1:14" x14ac:dyDescent="0.25">
      <c r="A689" t="s">
        <v>93</v>
      </c>
      <c r="B689" t="s">
        <v>94</v>
      </c>
      <c r="C689" t="s">
        <v>80</v>
      </c>
      <c r="D689" t="s">
        <v>389</v>
      </c>
      <c r="E689" t="s">
        <v>306</v>
      </c>
      <c r="F689">
        <v>19564.09</v>
      </c>
      <c r="G689">
        <v>6669.68</v>
      </c>
      <c r="H689" t="s">
        <v>392</v>
      </c>
      <c r="I689">
        <v>11692.35</v>
      </c>
      <c r="J689" t="s">
        <v>36</v>
      </c>
      <c r="K689">
        <v>3</v>
      </c>
      <c r="L689">
        <v>12</v>
      </c>
      <c r="M689" t="s">
        <v>30</v>
      </c>
    </row>
    <row r="690" spans="1:14" x14ac:dyDescent="0.25">
      <c r="A690" t="s">
        <v>96</v>
      </c>
      <c r="B690" t="s">
        <v>97</v>
      </c>
      <c r="C690" t="s">
        <v>86</v>
      </c>
      <c r="D690" t="s">
        <v>391</v>
      </c>
      <c r="E690" t="s">
        <v>306</v>
      </c>
      <c r="F690">
        <v>32690.87</v>
      </c>
      <c r="G690">
        <v>18669.8</v>
      </c>
      <c r="H690">
        <v>128246.38</v>
      </c>
      <c r="I690">
        <v>30040.54</v>
      </c>
      <c r="J690" t="s">
        <v>41</v>
      </c>
      <c r="K690">
        <v>7</v>
      </c>
      <c r="L690">
        <v>3</v>
      </c>
      <c r="M690" t="s">
        <v>20</v>
      </c>
      <c r="N690" t="s">
        <v>115</v>
      </c>
    </row>
    <row r="691" spans="1:14" x14ac:dyDescent="0.25">
      <c r="A691" t="s">
        <v>14</v>
      </c>
      <c r="B691" t="s">
        <v>15</v>
      </c>
      <c r="C691" t="s">
        <v>118</v>
      </c>
      <c r="D691" t="s">
        <v>393</v>
      </c>
      <c r="E691" t="s">
        <v>321</v>
      </c>
      <c r="F691">
        <v>137362.54</v>
      </c>
      <c r="G691">
        <v>70724.34</v>
      </c>
      <c r="H691">
        <v>502617.71</v>
      </c>
      <c r="I691">
        <v>129107.41</v>
      </c>
      <c r="J691" t="s">
        <v>25</v>
      </c>
      <c r="K691">
        <v>2</v>
      </c>
      <c r="L691">
        <v>7</v>
      </c>
      <c r="M691" t="s">
        <v>20</v>
      </c>
      <c r="N691" t="s">
        <v>125</v>
      </c>
    </row>
    <row r="692" spans="1:14" x14ac:dyDescent="0.25">
      <c r="A692" t="s">
        <v>21</v>
      </c>
      <c r="B692" t="s">
        <v>22</v>
      </c>
      <c r="C692" t="s">
        <v>118</v>
      </c>
      <c r="D692" t="s">
        <v>394</v>
      </c>
      <c r="E692" t="s">
        <v>306</v>
      </c>
      <c r="F692">
        <v>169608.62</v>
      </c>
      <c r="G692">
        <v>115667.85</v>
      </c>
      <c r="H692">
        <v>21785.61</v>
      </c>
      <c r="I692">
        <v>5045.5200000000004</v>
      </c>
      <c r="J692" t="s">
        <v>104</v>
      </c>
      <c r="K692">
        <v>5</v>
      </c>
      <c r="L692">
        <v>5</v>
      </c>
      <c r="M692" t="s">
        <v>58</v>
      </c>
      <c r="N692" t="s">
        <v>26</v>
      </c>
    </row>
    <row r="693" spans="1:14" x14ac:dyDescent="0.25">
      <c r="A693" t="s">
        <v>27</v>
      </c>
      <c r="B693" t="s">
        <v>28</v>
      </c>
      <c r="C693" t="s">
        <v>34</v>
      </c>
      <c r="D693" t="s">
        <v>395</v>
      </c>
      <c r="E693" t="s">
        <v>306</v>
      </c>
      <c r="F693">
        <v>178843.37</v>
      </c>
      <c r="G693">
        <v>85539.99</v>
      </c>
      <c r="H693">
        <v>806414.63</v>
      </c>
      <c r="I693">
        <v>146932.37</v>
      </c>
      <c r="J693" t="s">
        <v>19</v>
      </c>
      <c r="K693">
        <v>3</v>
      </c>
      <c r="L693">
        <v>8</v>
      </c>
      <c r="M693" t="s">
        <v>42</v>
      </c>
      <c r="N693" t="s">
        <v>95</v>
      </c>
    </row>
    <row r="694" spans="1:14" x14ac:dyDescent="0.25">
      <c r="A694" t="s">
        <v>32</v>
      </c>
      <c r="B694" t="s">
        <v>33</v>
      </c>
      <c r="C694" t="s">
        <v>34</v>
      </c>
      <c r="D694" t="s">
        <v>394</v>
      </c>
      <c r="E694" t="s">
        <v>318</v>
      </c>
      <c r="F694">
        <v>200973.66</v>
      </c>
      <c r="G694">
        <v>129444.35</v>
      </c>
      <c r="H694">
        <v>511332.14</v>
      </c>
      <c r="I694">
        <v>113433.24</v>
      </c>
      <c r="J694" t="s">
        <v>36</v>
      </c>
      <c r="K694">
        <v>3</v>
      </c>
      <c r="L694">
        <v>2</v>
      </c>
      <c r="M694" t="s">
        <v>42</v>
      </c>
    </row>
    <row r="695" spans="1:14" x14ac:dyDescent="0.25">
      <c r="A695" t="s">
        <v>39</v>
      </c>
      <c r="B695" t="s">
        <v>40</v>
      </c>
      <c r="C695" t="s">
        <v>29</v>
      </c>
      <c r="D695" t="s">
        <v>396</v>
      </c>
      <c r="E695" t="s">
        <v>306</v>
      </c>
      <c r="F695">
        <v>112049.74</v>
      </c>
      <c r="G695">
        <v>55733.94</v>
      </c>
      <c r="H695">
        <v>416989.72</v>
      </c>
      <c r="I695">
        <v>76433.19</v>
      </c>
      <c r="J695" t="s">
        <v>36</v>
      </c>
      <c r="K695">
        <v>5</v>
      </c>
      <c r="L695">
        <v>4</v>
      </c>
      <c r="M695" t="s">
        <v>130</v>
      </c>
      <c r="N695" t="s">
        <v>26</v>
      </c>
    </row>
    <row r="696" spans="1:14" x14ac:dyDescent="0.25">
      <c r="A696" t="s">
        <v>44</v>
      </c>
      <c r="B696" t="s">
        <v>45</v>
      </c>
      <c r="C696" t="s">
        <v>111</v>
      </c>
      <c r="D696" t="s">
        <v>394</v>
      </c>
      <c r="E696" t="s">
        <v>306</v>
      </c>
      <c r="F696">
        <v>188840.65</v>
      </c>
      <c r="G696">
        <v>95410.240000000005</v>
      </c>
      <c r="H696">
        <v>643843.92000000004</v>
      </c>
      <c r="I696">
        <v>167745.15</v>
      </c>
      <c r="J696" t="s">
        <v>77</v>
      </c>
      <c r="K696">
        <v>2</v>
      </c>
      <c r="L696">
        <v>3</v>
      </c>
      <c r="M696" t="s">
        <v>42</v>
      </c>
      <c r="N696" t="s">
        <v>101</v>
      </c>
    </row>
    <row r="697" spans="1:14" x14ac:dyDescent="0.25">
      <c r="A697" t="s">
        <v>49</v>
      </c>
      <c r="B697" t="s">
        <v>50</v>
      </c>
      <c r="C697" t="s">
        <v>61</v>
      </c>
      <c r="D697" t="s">
        <v>393</v>
      </c>
      <c r="E697" t="s">
        <v>306</v>
      </c>
      <c r="F697">
        <v>50891.95</v>
      </c>
      <c r="G697">
        <v>32592.720000000001</v>
      </c>
      <c r="H697" t="s">
        <v>397</v>
      </c>
      <c r="I697">
        <v>69731.73</v>
      </c>
      <c r="J697" t="s">
        <v>104</v>
      </c>
      <c r="K697">
        <v>3</v>
      </c>
      <c r="L697">
        <v>1</v>
      </c>
      <c r="M697" t="s">
        <v>20</v>
      </c>
      <c r="N697" t="s">
        <v>95</v>
      </c>
    </row>
    <row r="698" spans="1:14" x14ac:dyDescent="0.25">
      <c r="A698" t="s">
        <v>55</v>
      </c>
      <c r="B698" t="s">
        <v>56</v>
      </c>
      <c r="C698" t="s">
        <v>76</v>
      </c>
      <c r="D698" t="s">
        <v>394</v>
      </c>
      <c r="E698" t="s">
        <v>306</v>
      </c>
      <c r="F698">
        <v>84588.4</v>
      </c>
      <c r="G698">
        <v>48653.38</v>
      </c>
      <c r="H698" t="s">
        <v>398</v>
      </c>
      <c r="I698">
        <v>66843.02</v>
      </c>
      <c r="J698" t="s">
        <v>53</v>
      </c>
      <c r="K698">
        <v>3</v>
      </c>
      <c r="L698">
        <v>3</v>
      </c>
      <c r="M698" t="s">
        <v>58</v>
      </c>
      <c r="N698" t="s">
        <v>81</v>
      </c>
    </row>
    <row r="699" spans="1:14" x14ac:dyDescent="0.25">
      <c r="A699" t="s">
        <v>59</v>
      </c>
      <c r="B699" t="s">
        <v>60</v>
      </c>
      <c r="C699" t="s">
        <v>57</v>
      </c>
      <c r="D699" t="s">
        <v>393</v>
      </c>
      <c r="E699" t="s">
        <v>306</v>
      </c>
      <c r="F699">
        <v>71524.039999999994</v>
      </c>
      <c r="G699">
        <v>29193.74</v>
      </c>
      <c r="H699">
        <v>294380.13</v>
      </c>
      <c r="I699">
        <v>69333.52</v>
      </c>
      <c r="J699" t="s">
        <v>41</v>
      </c>
      <c r="K699">
        <v>1</v>
      </c>
      <c r="L699">
        <v>7</v>
      </c>
      <c r="M699" t="s">
        <v>42</v>
      </c>
      <c r="N699" t="s">
        <v>43</v>
      </c>
    </row>
    <row r="700" spans="1:14" x14ac:dyDescent="0.25">
      <c r="A700" t="s">
        <v>62</v>
      </c>
      <c r="B700" t="s">
        <v>63</v>
      </c>
      <c r="C700" t="s">
        <v>51</v>
      </c>
      <c r="D700" t="s">
        <v>399</v>
      </c>
      <c r="E700" t="s">
        <v>306</v>
      </c>
      <c r="F700">
        <v>39802.9</v>
      </c>
      <c r="G700">
        <v>18642.560000000001</v>
      </c>
      <c r="H700">
        <v>196260.1</v>
      </c>
      <c r="I700">
        <v>49094.29</v>
      </c>
      <c r="J700" t="s">
        <v>25</v>
      </c>
      <c r="K700">
        <v>1</v>
      </c>
      <c r="L700">
        <v>6</v>
      </c>
      <c r="M700" t="s">
        <v>54</v>
      </c>
      <c r="N700" t="s">
        <v>125</v>
      </c>
    </row>
    <row r="701" spans="1:14" x14ac:dyDescent="0.25">
      <c r="A701" t="s">
        <v>68</v>
      </c>
      <c r="B701" t="s">
        <v>69</v>
      </c>
      <c r="C701" t="s">
        <v>70</v>
      </c>
      <c r="D701" t="s">
        <v>393</v>
      </c>
      <c r="E701" t="s">
        <v>306</v>
      </c>
      <c r="F701">
        <v>45645.279999999999</v>
      </c>
      <c r="G701">
        <v>26426.41</v>
      </c>
      <c r="H701">
        <v>1270102</v>
      </c>
      <c r="I701">
        <v>26222.92</v>
      </c>
      <c r="J701" t="s">
        <v>104</v>
      </c>
      <c r="K701">
        <v>1</v>
      </c>
      <c r="L701">
        <v>1</v>
      </c>
      <c r="M701" t="s">
        <v>58</v>
      </c>
      <c r="N701" t="s">
        <v>65</v>
      </c>
    </row>
    <row r="702" spans="1:14" x14ac:dyDescent="0.25">
      <c r="A702" t="s">
        <v>74</v>
      </c>
      <c r="B702" t="s">
        <v>75</v>
      </c>
      <c r="C702" t="s">
        <v>61</v>
      </c>
      <c r="D702" t="s">
        <v>400</v>
      </c>
      <c r="E702" t="s">
        <v>306</v>
      </c>
      <c r="F702" t="s">
        <v>401</v>
      </c>
      <c r="G702">
        <v>15937.1</v>
      </c>
      <c r="H702">
        <v>81598.98</v>
      </c>
      <c r="I702">
        <v>22755.439999999999</v>
      </c>
      <c r="J702" t="s">
        <v>25</v>
      </c>
      <c r="K702">
        <v>3</v>
      </c>
      <c r="L702">
        <v>8</v>
      </c>
      <c r="M702" t="s">
        <v>58</v>
      </c>
      <c r="N702" t="s">
        <v>125</v>
      </c>
    </row>
    <row r="703" spans="1:14" x14ac:dyDescent="0.25">
      <c r="A703" t="s">
        <v>78</v>
      </c>
      <c r="B703" t="s">
        <v>79</v>
      </c>
      <c r="C703" t="s">
        <v>116</v>
      </c>
      <c r="D703" t="s">
        <v>400</v>
      </c>
      <c r="E703" t="s">
        <v>306</v>
      </c>
      <c r="F703" t="s">
        <v>402</v>
      </c>
      <c r="G703">
        <v>13873.71</v>
      </c>
      <c r="H703">
        <v>98746.8</v>
      </c>
      <c r="I703">
        <v>25356.25</v>
      </c>
      <c r="J703" t="s">
        <v>41</v>
      </c>
      <c r="K703">
        <v>9</v>
      </c>
      <c r="L703">
        <v>6</v>
      </c>
      <c r="M703" t="s">
        <v>54</v>
      </c>
    </row>
    <row r="704" spans="1:14" x14ac:dyDescent="0.25">
      <c r="A704" t="s">
        <v>82</v>
      </c>
      <c r="B704" t="s">
        <v>83</v>
      </c>
      <c r="C704" t="s">
        <v>86</v>
      </c>
      <c r="D704" t="s">
        <v>393</v>
      </c>
      <c r="E704" t="s">
        <v>306</v>
      </c>
      <c r="F704">
        <v>21225.49</v>
      </c>
      <c r="G704">
        <v>9133.9500000000007</v>
      </c>
      <c r="H704">
        <v>3719.21</v>
      </c>
      <c r="I704">
        <v>1027.8499999999999</v>
      </c>
      <c r="J704" t="s">
        <v>19</v>
      </c>
      <c r="K704">
        <v>6</v>
      </c>
      <c r="L704">
        <v>6</v>
      </c>
      <c r="M704" t="s">
        <v>30</v>
      </c>
      <c r="N704" t="s">
        <v>81</v>
      </c>
    </row>
    <row r="705" spans="1:14" x14ac:dyDescent="0.25">
      <c r="A705" t="s">
        <v>84</v>
      </c>
      <c r="B705" t="s">
        <v>85</v>
      </c>
      <c r="C705" t="s">
        <v>137</v>
      </c>
      <c r="D705" t="s">
        <v>393</v>
      </c>
      <c r="E705" t="s">
        <v>306</v>
      </c>
      <c r="F705">
        <v>18550.37</v>
      </c>
      <c r="G705">
        <v>11763.97</v>
      </c>
      <c r="H705">
        <v>72384.92</v>
      </c>
      <c r="I705">
        <v>25172.06</v>
      </c>
      <c r="J705" t="s">
        <v>25</v>
      </c>
      <c r="K705">
        <v>5</v>
      </c>
      <c r="L705">
        <v>9</v>
      </c>
      <c r="M705" t="s">
        <v>30</v>
      </c>
    </row>
    <row r="706" spans="1:14" x14ac:dyDescent="0.25">
      <c r="A706" t="s">
        <v>87</v>
      </c>
      <c r="B706" t="s">
        <v>88</v>
      </c>
      <c r="C706" t="s">
        <v>137</v>
      </c>
      <c r="D706" t="s">
        <v>395</v>
      </c>
      <c r="E706" t="s">
        <v>306</v>
      </c>
      <c r="F706">
        <v>10625.28</v>
      </c>
      <c r="G706">
        <v>6153.68</v>
      </c>
      <c r="H706">
        <v>46269.03</v>
      </c>
      <c r="I706">
        <v>10530.66</v>
      </c>
      <c r="J706" t="s">
        <v>104</v>
      </c>
      <c r="K706">
        <v>12</v>
      </c>
      <c r="L706">
        <v>8</v>
      </c>
      <c r="M706" t="s">
        <v>30</v>
      </c>
      <c r="N706" t="s">
        <v>113</v>
      </c>
    </row>
    <row r="707" spans="1:14" x14ac:dyDescent="0.25">
      <c r="A707" t="s">
        <v>90</v>
      </c>
      <c r="B707" t="s">
        <v>91</v>
      </c>
      <c r="C707" t="s">
        <v>89</v>
      </c>
      <c r="D707" t="s">
        <v>394</v>
      </c>
      <c r="E707" t="s">
        <v>306</v>
      </c>
      <c r="F707">
        <v>33165.17</v>
      </c>
      <c r="G707">
        <v>15671.12</v>
      </c>
      <c r="H707">
        <v>102381.1</v>
      </c>
      <c r="I707">
        <v>28519.49</v>
      </c>
      <c r="J707" t="s">
        <v>104</v>
      </c>
      <c r="K707">
        <v>10</v>
      </c>
      <c r="L707">
        <v>13</v>
      </c>
      <c r="M707" t="s">
        <v>30</v>
      </c>
    </row>
    <row r="708" spans="1:14" x14ac:dyDescent="0.25">
      <c r="A708" t="s">
        <v>93</v>
      </c>
      <c r="B708" t="s">
        <v>94</v>
      </c>
      <c r="C708" t="s">
        <v>86</v>
      </c>
      <c r="D708" t="s">
        <v>393</v>
      </c>
      <c r="E708" t="s">
        <v>306</v>
      </c>
      <c r="F708">
        <v>26773.43</v>
      </c>
      <c r="G708">
        <v>12950.92</v>
      </c>
      <c r="H708">
        <v>71151.06</v>
      </c>
      <c r="I708">
        <v>16203.94</v>
      </c>
      <c r="J708" t="s">
        <v>19</v>
      </c>
      <c r="K708">
        <v>6</v>
      </c>
      <c r="L708">
        <v>12</v>
      </c>
      <c r="M708" t="s">
        <v>58</v>
      </c>
      <c r="N708" t="s">
        <v>115</v>
      </c>
    </row>
    <row r="709" spans="1:14" x14ac:dyDescent="0.25">
      <c r="A709" t="s">
        <v>96</v>
      </c>
      <c r="B709" t="s">
        <v>97</v>
      </c>
      <c r="C709" t="s">
        <v>86</v>
      </c>
      <c r="D709" t="s">
        <v>394</v>
      </c>
      <c r="E709" t="s">
        <v>318</v>
      </c>
      <c r="F709">
        <v>30555.599999999999</v>
      </c>
      <c r="G709">
        <v>19568.7</v>
      </c>
      <c r="H709">
        <v>136886.31</v>
      </c>
      <c r="I709">
        <v>41918.61</v>
      </c>
      <c r="J709" t="s">
        <v>41</v>
      </c>
      <c r="K709">
        <v>6</v>
      </c>
      <c r="L709">
        <v>9</v>
      </c>
      <c r="M709" t="s">
        <v>54</v>
      </c>
      <c r="N709" t="s">
        <v>81</v>
      </c>
    </row>
    <row r="710" spans="1:14" x14ac:dyDescent="0.25">
      <c r="A710" t="s">
        <v>14</v>
      </c>
      <c r="B710" t="s">
        <v>15</v>
      </c>
      <c r="C710" t="s">
        <v>34</v>
      </c>
      <c r="D710" t="s">
        <v>403</v>
      </c>
      <c r="E710" t="s">
        <v>306</v>
      </c>
      <c r="F710">
        <v>128550.28</v>
      </c>
      <c r="G710">
        <v>68177.39</v>
      </c>
      <c r="H710">
        <v>637452.82999999996</v>
      </c>
      <c r="I710">
        <v>130740.07</v>
      </c>
      <c r="J710" t="s">
        <v>36</v>
      </c>
      <c r="K710">
        <v>6</v>
      </c>
      <c r="L710">
        <v>8</v>
      </c>
      <c r="M710" t="s">
        <v>20</v>
      </c>
      <c r="N710" t="s">
        <v>110</v>
      </c>
    </row>
    <row r="711" spans="1:14" x14ac:dyDescent="0.25">
      <c r="A711" t="s">
        <v>21</v>
      </c>
      <c r="B711" t="s">
        <v>22</v>
      </c>
      <c r="C711" t="s">
        <v>29</v>
      </c>
      <c r="D711" t="s">
        <v>404</v>
      </c>
      <c r="E711" t="s">
        <v>332</v>
      </c>
      <c r="F711">
        <v>110557.17</v>
      </c>
      <c r="G711">
        <v>80651.039999999994</v>
      </c>
      <c r="H711">
        <v>441894.95</v>
      </c>
      <c r="I711">
        <v>142043.70000000001</v>
      </c>
      <c r="J711" t="s">
        <v>104</v>
      </c>
      <c r="K711">
        <v>2</v>
      </c>
      <c r="L711">
        <v>3</v>
      </c>
      <c r="M711" t="s">
        <v>54</v>
      </c>
    </row>
    <row r="712" spans="1:14" x14ac:dyDescent="0.25">
      <c r="A712" t="s">
        <v>27</v>
      </c>
      <c r="B712" t="s">
        <v>28</v>
      </c>
      <c r="C712" t="s">
        <v>46</v>
      </c>
      <c r="D712" t="s">
        <v>403</v>
      </c>
      <c r="E712" t="s">
        <v>306</v>
      </c>
      <c r="F712">
        <v>80565.67</v>
      </c>
      <c r="G712">
        <v>46963.94</v>
      </c>
      <c r="H712">
        <v>350402.51</v>
      </c>
      <c r="I712">
        <v>109995.94</v>
      </c>
      <c r="J712" t="s">
        <v>53</v>
      </c>
      <c r="K712">
        <v>4</v>
      </c>
      <c r="L712">
        <v>3</v>
      </c>
      <c r="M712" t="s">
        <v>42</v>
      </c>
      <c r="N712" t="s">
        <v>127</v>
      </c>
    </row>
    <row r="713" spans="1:14" x14ac:dyDescent="0.25">
      <c r="A713" t="s">
        <v>32</v>
      </c>
      <c r="B713" t="s">
        <v>33</v>
      </c>
      <c r="C713" t="s">
        <v>34</v>
      </c>
      <c r="D713" t="s">
        <v>405</v>
      </c>
      <c r="E713" t="s">
        <v>306</v>
      </c>
      <c r="F713">
        <v>170146.32</v>
      </c>
      <c r="G713">
        <v>100180.21</v>
      </c>
      <c r="H713">
        <v>730013.58</v>
      </c>
      <c r="I713">
        <v>251692.39</v>
      </c>
      <c r="J713" t="s">
        <v>53</v>
      </c>
      <c r="K713">
        <v>1</v>
      </c>
      <c r="L713">
        <v>4</v>
      </c>
      <c r="M713" t="s">
        <v>30</v>
      </c>
      <c r="N713" t="s">
        <v>101</v>
      </c>
    </row>
    <row r="714" spans="1:14" x14ac:dyDescent="0.25">
      <c r="A714" t="s">
        <v>49</v>
      </c>
      <c r="B714" t="s">
        <v>50</v>
      </c>
      <c r="C714" t="s">
        <v>61</v>
      </c>
      <c r="D714" t="s">
        <v>406</v>
      </c>
      <c r="E714" t="s">
        <v>306</v>
      </c>
      <c r="F714">
        <v>32620.78</v>
      </c>
      <c r="G714">
        <v>20599.68</v>
      </c>
      <c r="H714">
        <v>115960.15</v>
      </c>
      <c r="I714">
        <v>28817.27</v>
      </c>
      <c r="J714" t="s">
        <v>104</v>
      </c>
      <c r="K714">
        <v>6</v>
      </c>
      <c r="L714">
        <v>2</v>
      </c>
      <c r="M714" t="s">
        <v>42</v>
      </c>
    </row>
    <row r="715" spans="1:14" x14ac:dyDescent="0.25">
      <c r="A715" t="s">
        <v>55</v>
      </c>
      <c r="B715" t="s">
        <v>56</v>
      </c>
      <c r="C715" t="s">
        <v>57</v>
      </c>
      <c r="D715" t="s">
        <v>406</v>
      </c>
      <c r="E715" t="s">
        <v>332</v>
      </c>
      <c r="F715">
        <v>59999.69</v>
      </c>
      <c r="G715">
        <v>30069.23</v>
      </c>
      <c r="H715">
        <v>279174.78999999998</v>
      </c>
      <c r="I715">
        <v>75833.070000000007</v>
      </c>
      <c r="J715" t="s">
        <v>104</v>
      </c>
      <c r="K715">
        <v>1</v>
      </c>
      <c r="L715">
        <v>8</v>
      </c>
      <c r="M715" t="s">
        <v>54</v>
      </c>
    </row>
    <row r="716" spans="1:14" x14ac:dyDescent="0.25">
      <c r="A716" t="s">
        <v>59</v>
      </c>
      <c r="B716" t="s">
        <v>60</v>
      </c>
      <c r="C716" t="s">
        <v>57</v>
      </c>
      <c r="D716" t="s">
        <v>407</v>
      </c>
      <c r="E716" t="s">
        <v>306</v>
      </c>
      <c r="F716">
        <v>499130</v>
      </c>
      <c r="G716">
        <v>20470.439999999999</v>
      </c>
      <c r="H716">
        <v>178673.47</v>
      </c>
      <c r="I716">
        <v>39492.980000000003</v>
      </c>
      <c r="J716" t="s">
        <v>77</v>
      </c>
      <c r="K716">
        <v>4</v>
      </c>
      <c r="L716">
        <v>2</v>
      </c>
      <c r="M716" t="s">
        <v>42</v>
      </c>
      <c r="N716" t="s">
        <v>110</v>
      </c>
    </row>
    <row r="717" spans="1:14" x14ac:dyDescent="0.25">
      <c r="A717" t="s">
        <v>62</v>
      </c>
      <c r="B717" t="s">
        <v>63</v>
      </c>
      <c r="C717" t="s">
        <v>70</v>
      </c>
      <c r="D717" t="s">
        <v>408</v>
      </c>
      <c r="E717" t="s">
        <v>306</v>
      </c>
      <c r="F717">
        <v>40874</v>
      </c>
      <c r="G717">
        <v>23012.47</v>
      </c>
      <c r="H717">
        <v>128058.67</v>
      </c>
      <c r="I717">
        <v>34299.9</v>
      </c>
      <c r="J717" t="s">
        <v>41</v>
      </c>
      <c r="K717">
        <v>2</v>
      </c>
      <c r="L717">
        <v>1</v>
      </c>
      <c r="M717" t="s">
        <v>99</v>
      </c>
    </row>
    <row r="718" spans="1:14" x14ac:dyDescent="0.25">
      <c r="A718" t="s">
        <v>66</v>
      </c>
      <c r="B718" t="s">
        <v>67</v>
      </c>
      <c r="C718" t="s">
        <v>70</v>
      </c>
      <c r="D718" t="s">
        <v>407</v>
      </c>
      <c r="E718" t="s">
        <v>306</v>
      </c>
      <c r="F718">
        <v>30341.55</v>
      </c>
      <c r="G718">
        <v>18549.63</v>
      </c>
      <c r="H718">
        <v>2625.62</v>
      </c>
      <c r="I718">
        <v>624.4</v>
      </c>
      <c r="J718" t="s">
        <v>77</v>
      </c>
      <c r="K718">
        <v>6</v>
      </c>
      <c r="L718">
        <v>3</v>
      </c>
      <c r="M718" t="s">
        <v>20</v>
      </c>
      <c r="N718" t="s">
        <v>113</v>
      </c>
    </row>
    <row r="719" spans="1:14" x14ac:dyDescent="0.25">
      <c r="A719" t="s">
        <v>68</v>
      </c>
      <c r="B719" t="s">
        <v>69</v>
      </c>
      <c r="C719" t="s">
        <v>51</v>
      </c>
      <c r="D719" t="s">
        <v>408</v>
      </c>
      <c r="E719" t="s">
        <v>306</v>
      </c>
      <c r="F719">
        <v>52000.54</v>
      </c>
      <c r="G719">
        <v>23613.84</v>
      </c>
      <c r="H719">
        <v>212530.36</v>
      </c>
      <c r="I719">
        <v>55368.81</v>
      </c>
      <c r="J719" t="s">
        <v>41</v>
      </c>
      <c r="K719">
        <v>3</v>
      </c>
      <c r="L719">
        <v>6</v>
      </c>
      <c r="M719" t="s">
        <v>20</v>
      </c>
      <c r="N719" t="s">
        <v>43</v>
      </c>
    </row>
    <row r="720" spans="1:14" x14ac:dyDescent="0.25">
      <c r="A720" t="s">
        <v>74</v>
      </c>
      <c r="B720" t="s">
        <v>75</v>
      </c>
      <c r="C720" t="s">
        <v>57</v>
      </c>
      <c r="D720" t="s">
        <v>403</v>
      </c>
      <c r="E720" t="s">
        <v>306</v>
      </c>
      <c r="F720" t="s">
        <v>409</v>
      </c>
      <c r="G720">
        <v>23153.74</v>
      </c>
      <c r="H720">
        <v>164823.13</v>
      </c>
      <c r="I720">
        <v>45285.59</v>
      </c>
      <c r="J720" t="s">
        <v>19</v>
      </c>
      <c r="K720">
        <v>4</v>
      </c>
      <c r="L720">
        <v>8</v>
      </c>
      <c r="M720" t="s">
        <v>58</v>
      </c>
      <c r="N720" t="s">
        <v>38</v>
      </c>
    </row>
    <row r="721" spans="1:14" x14ac:dyDescent="0.25">
      <c r="A721" t="s">
        <v>82</v>
      </c>
      <c r="B721" t="s">
        <v>83</v>
      </c>
      <c r="C721" t="s">
        <v>126</v>
      </c>
      <c r="D721" t="s">
        <v>407</v>
      </c>
      <c r="E721" t="s">
        <v>306</v>
      </c>
      <c r="F721">
        <v>40011.54</v>
      </c>
      <c r="G721">
        <v>16604.18</v>
      </c>
      <c r="H721">
        <v>130372</v>
      </c>
      <c r="I721">
        <v>30548.76</v>
      </c>
      <c r="J721" t="s">
        <v>53</v>
      </c>
      <c r="K721">
        <v>5</v>
      </c>
      <c r="L721">
        <v>2</v>
      </c>
      <c r="M721" t="s">
        <v>58</v>
      </c>
      <c r="N721" t="s">
        <v>26</v>
      </c>
    </row>
    <row r="722" spans="1:14" x14ac:dyDescent="0.25">
      <c r="A722" t="s">
        <v>84</v>
      </c>
      <c r="B722" t="s">
        <v>85</v>
      </c>
      <c r="C722" t="s">
        <v>89</v>
      </c>
      <c r="D722" t="s">
        <v>406</v>
      </c>
      <c r="E722" t="s">
        <v>321</v>
      </c>
      <c r="F722">
        <v>11427.8</v>
      </c>
      <c r="G722">
        <v>7110.8</v>
      </c>
      <c r="H722" t="s">
        <v>410</v>
      </c>
      <c r="I722">
        <v>8120</v>
      </c>
      <c r="J722" t="s">
        <v>53</v>
      </c>
      <c r="K722">
        <v>4</v>
      </c>
      <c r="L722">
        <v>3</v>
      </c>
      <c r="M722" t="s">
        <v>20</v>
      </c>
      <c r="N722" t="s">
        <v>38</v>
      </c>
    </row>
    <row r="723" spans="1:14" x14ac:dyDescent="0.25">
      <c r="A723" t="s">
        <v>90</v>
      </c>
      <c r="B723" t="s">
        <v>91</v>
      </c>
      <c r="C723" t="s">
        <v>89</v>
      </c>
      <c r="D723" t="s">
        <v>408</v>
      </c>
      <c r="E723" t="s">
        <v>306</v>
      </c>
      <c r="F723">
        <v>33131.06</v>
      </c>
      <c r="G723">
        <v>18927.349999999999</v>
      </c>
      <c r="H723">
        <v>101440.77</v>
      </c>
      <c r="I723">
        <v>26525.97</v>
      </c>
      <c r="J723" t="s">
        <v>25</v>
      </c>
      <c r="K723">
        <v>10</v>
      </c>
      <c r="L723">
        <v>15</v>
      </c>
      <c r="M723" t="s">
        <v>37</v>
      </c>
      <c r="N723" t="s">
        <v>26</v>
      </c>
    </row>
    <row r="724" spans="1:14" x14ac:dyDescent="0.25">
      <c r="A724" t="s">
        <v>93</v>
      </c>
      <c r="B724" t="s">
        <v>94</v>
      </c>
      <c r="C724" t="s">
        <v>80</v>
      </c>
      <c r="D724" t="s">
        <v>406</v>
      </c>
      <c r="E724" t="s">
        <v>332</v>
      </c>
      <c r="F724">
        <v>37215.54</v>
      </c>
      <c r="G724">
        <v>12375.25</v>
      </c>
      <c r="H724">
        <v>129627.98</v>
      </c>
      <c r="I724">
        <v>41112.54</v>
      </c>
      <c r="J724" t="s">
        <v>19</v>
      </c>
      <c r="K724">
        <v>7</v>
      </c>
      <c r="L724">
        <v>6</v>
      </c>
      <c r="M724" t="s">
        <v>54</v>
      </c>
    </row>
    <row r="725" spans="1:14" x14ac:dyDescent="0.25">
      <c r="A725" t="s">
        <v>96</v>
      </c>
      <c r="B725" t="s">
        <v>97</v>
      </c>
      <c r="C725" t="s">
        <v>86</v>
      </c>
      <c r="D725" t="s">
        <v>405</v>
      </c>
      <c r="E725" t="s">
        <v>321</v>
      </c>
      <c r="F725">
        <v>24340.53</v>
      </c>
      <c r="G725">
        <v>13747.47</v>
      </c>
      <c r="H725">
        <v>81362.8</v>
      </c>
      <c r="I725">
        <v>28134.32</v>
      </c>
      <c r="J725" t="s">
        <v>41</v>
      </c>
      <c r="K725">
        <v>10</v>
      </c>
      <c r="L725">
        <v>9</v>
      </c>
      <c r="M725" t="s">
        <v>30</v>
      </c>
    </row>
    <row r="726" spans="1:14" x14ac:dyDescent="0.25">
      <c r="A726" t="s">
        <v>14</v>
      </c>
      <c r="B726" t="s">
        <v>15</v>
      </c>
      <c r="C726" t="s">
        <v>46</v>
      </c>
      <c r="D726" t="s">
        <v>411</v>
      </c>
      <c r="E726" t="s">
        <v>412</v>
      </c>
      <c r="F726">
        <v>216127.7</v>
      </c>
      <c r="H726">
        <v>721325.37</v>
      </c>
      <c r="I726">
        <v>163992.43</v>
      </c>
      <c r="J726" t="s">
        <v>41</v>
      </c>
      <c r="K726">
        <v>5</v>
      </c>
      <c r="M726" t="s">
        <v>58</v>
      </c>
      <c r="N726" t="s">
        <v>110</v>
      </c>
    </row>
    <row r="727" spans="1:14" x14ac:dyDescent="0.25">
      <c r="A727" t="s">
        <v>21</v>
      </c>
      <c r="B727" t="s">
        <v>22</v>
      </c>
      <c r="C727" t="s">
        <v>118</v>
      </c>
      <c r="D727" t="s">
        <v>413</v>
      </c>
      <c r="E727" t="s">
        <v>414</v>
      </c>
      <c r="F727">
        <v>74286.259999999995</v>
      </c>
      <c r="H727">
        <v>223923.64</v>
      </c>
      <c r="I727">
        <v>71916.7</v>
      </c>
      <c r="J727" t="s">
        <v>41</v>
      </c>
      <c r="K727">
        <v>2</v>
      </c>
      <c r="M727" t="s">
        <v>177</v>
      </c>
      <c r="N727" t="s">
        <v>31</v>
      </c>
    </row>
    <row r="728" spans="1:14" x14ac:dyDescent="0.25">
      <c r="A728" t="s">
        <v>27</v>
      </c>
      <c r="B728" t="s">
        <v>28</v>
      </c>
      <c r="C728" t="s">
        <v>118</v>
      </c>
      <c r="D728" t="s">
        <v>415</v>
      </c>
      <c r="E728" t="s">
        <v>416</v>
      </c>
      <c r="F728">
        <v>115355</v>
      </c>
      <c r="H728">
        <v>522879.55</v>
      </c>
      <c r="I728">
        <v>94408.73</v>
      </c>
      <c r="J728" t="s">
        <v>104</v>
      </c>
      <c r="K728">
        <v>2</v>
      </c>
      <c r="M728" t="s">
        <v>42</v>
      </c>
      <c r="N728" t="s">
        <v>65</v>
      </c>
    </row>
    <row r="729" spans="1:14" x14ac:dyDescent="0.25">
      <c r="A729" t="s">
        <v>32</v>
      </c>
      <c r="B729" t="s">
        <v>33</v>
      </c>
      <c r="C729" t="s">
        <v>16</v>
      </c>
      <c r="D729" t="s">
        <v>411</v>
      </c>
      <c r="E729" t="s">
        <v>414</v>
      </c>
      <c r="F729">
        <v>148538.34</v>
      </c>
      <c r="H729">
        <v>533687.96</v>
      </c>
      <c r="I729">
        <v>108740.87</v>
      </c>
      <c r="J729" t="s">
        <v>19</v>
      </c>
      <c r="K729">
        <v>1</v>
      </c>
      <c r="M729" t="s">
        <v>30</v>
      </c>
      <c r="N729" t="s">
        <v>65</v>
      </c>
    </row>
    <row r="730" spans="1:14" x14ac:dyDescent="0.25">
      <c r="A730" t="s">
        <v>39</v>
      </c>
      <c r="B730" t="s">
        <v>40</v>
      </c>
      <c r="C730" t="s">
        <v>29</v>
      </c>
      <c r="D730" t="s">
        <v>417</v>
      </c>
      <c r="E730" t="s">
        <v>414</v>
      </c>
      <c r="F730">
        <v>204783.62</v>
      </c>
      <c r="H730">
        <v>517004.96</v>
      </c>
      <c r="I730">
        <v>147936.42000000001</v>
      </c>
      <c r="J730" t="s">
        <v>41</v>
      </c>
      <c r="K730">
        <v>3</v>
      </c>
      <c r="M730" t="s">
        <v>58</v>
      </c>
      <c r="N730" t="s">
        <v>113</v>
      </c>
    </row>
    <row r="731" spans="1:14" x14ac:dyDescent="0.25">
      <c r="A731" t="s">
        <v>44</v>
      </c>
      <c r="B731" t="s">
        <v>45</v>
      </c>
      <c r="C731" t="s">
        <v>16</v>
      </c>
      <c r="D731" t="s">
        <v>418</v>
      </c>
      <c r="E731" t="s">
        <v>414</v>
      </c>
      <c r="F731">
        <v>124340.49</v>
      </c>
      <c r="H731">
        <v>561307.27</v>
      </c>
      <c r="I731">
        <v>120419.5</v>
      </c>
      <c r="J731" t="s">
        <v>41</v>
      </c>
      <c r="K731">
        <v>5</v>
      </c>
      <c r="M731" t="s">
        <v>58</v>
      </c>
      <c r="N731" t="s">
        <v>125</v>
      </c>
    </row>
    <row r="732" spans="1:14" x14ac:dyDescent="0.25">
      <c r="A732" t="s">
        <v>49</v>
      </c>
      <c r="B732" t="s">
        <v>50</v>
      </c>
      <c r="C732" t="s">
        <v>61</v>
      </c>
      <c r="D732" t="s">
        <v>415</v>
      </c>
      <c r="E732" t="s">
        <v>414</v>
      </c>
      <c r="F732">
        <v>34275.69</v>
      </c>
      <c r="H732">
        <v>159458.66</v>
      </c>
      <c r="I732">
        <v>40797.19</v>
      </c>
      <c r="J732" t="s">
        <v>77</v>
      </c>
      <c r="K732">
        <v>2</v>
      </c>
      <c r="M732" t="s">
        <v>30</v>
      </c>
      <c r="N732" t="s">
        <v>31</v>
      </c>
    </row>
    <row r="733" spans="1:14" x14ac:dyDescent="0.25">
      <c r="A733" t="s">
        <v>55</v>
      </c>
      <c r="B733" t="s">
        <v>56</v>
      </c>
      <c r="C733" t="s">
        <v>57</v>
      </c>
      <c r="D733" t="s">
        <v>417</v>
      </c>
      <c r="E733" t="s">
        <v>414</v>
      </c>
      <c r="F733">
        <v>70398.67</v>
      </c>
      <c r="H733">
        <v>330019.59000000003</v>
      </c>
      <c r="I733">
        <v>60565.75</v>
      </c>
      <c r="J733" t="s">
        <v>53</v>
      </c>
      <c r="K733">
        <v>5</v>
      </c>
      <c r="M733" t="s">
        <v>20</v>
      </c>
      <c r="N733" t="s">
        <v>38</v>
      </c>
    </row>
    <row r="734" spans="1:14" x14ac:dyDescent="0.25">
      <c r="A734" t="s">
        <v>59</v>
      </c>
      <c r="B734" t="s">
        <v>60</v>
      </c>
      <c r="C734" t="s">
        <v>70</v>
      </c>
      <c r="D734" t="s">
        <v>411</v>
      </c>
      <c r="E734" t="s">
        <v>414</v>
      </c>
      <c r="F734">
        <v>64723.81</v>
      </c>
      <c r="H734">
        <v>199170.6</v>
      </c>
      <c r="I734">
        <v>51754.720000000001</v>
      </c>
      <c r="J734" t="s">
        <v>25</v>
      </c>
      <c r="K734">
        <v>1</v>
      </c>
      <c r="M734" t="s">
        <v>54</v>
      </c>
      <c r="N734" t="s">
        <v>65</v>
      </c>
    </row>
    <row r="735" spans="1:14" x14ac:dyDescent="0.25">
      <c r="A735" t="s">
        <v>62</v>
      </c>
      <c r="B735" t="s">
        <v>63</v>
      </c>
      <c r="C735" t="s">
        <v>70</v>
      </c>
      <c r="D735" t="s">
        <v>417</v>
      </c>
      <c r="E735" t="s">
        <v>419</v>
      </c>
      <c r="F735">
        <v>84551.28</v>
      </c>
      <c r="H735">
        <v>265263.95</v>
      </c>
      <c r="I735">
        <v>64279.05</v>
      </c>
      <c r="J735" t="s">
        <v>104</v>
      </c>
      <c r="K735">
        <v>3</v>
      </c>
      <c r="M735" t="s">
        <v>58</v>
      </c>
    </row>
    <row r="736" spans="1:14" x14ac:dyDescent="0.25">
      <c r="A736" t="s">
        <v>66</v>
      </c>
      <c r="B736" t="s">
        <v>67</v>
      </c>
      <c r="C736" t="s">
        <v>70</v>
      </c>
      <c r="D736" t="s">
        <v>420</v>
      </c>
      <c r="E736" t="s">
        <v>414</v>
      </c>
      <c r="F736">
        <v>33003.9</v>
      </c>
      <c r="H736">
        <v>159409.69</v>
      </c>
      <c r="I736">
        <v>36638.080000000002</v>
      </c>
      <c r="J736" t="s">
        <v>19</v>
      </c>
      <c r="K736">
        <v>4</v>
      </c>
      <c r="M736" t="s">
        <v>58</v>
      </c>
      <c r="N736" t="s">
        <v>125</v>
      </c>
    </row>
    <row r="737" spans="1:14" x14ac:dyDescent="0.25">
      <c r="A737" t="s">
        <v>68</v>
      </c>
      <c r="B737" t="s">
        <v>69</v>
      </c>
      <c r="C737" t="s">
        <v>114</v>
      </c>
      <c r="D737" t="s">
        <v>411</v>
      </c>
      <c r="E737" t="s">
        <v>414</v>
      </c>
      <c r="F737">
        <v>58214.9</v>
      </c>
      <c r="H737">
        <v>14103.63</v>
      </c>
      <c r="I737">
        <v>3983.54</v>
      </c>
      <c r="J737" t="s">
        <v>77</v>
      </c>
      <c r="K737">
        <v>1</v>
      </c>
      <c r="M737" t="s">
        <v>30</v>
      </c>
      <c r="N737" t="s">
        <v>125</v>
      </c>
    </row>
    <row r="738" spans="1:14" x14ac:dyDescent="0.25">
      <c r="A738" t="s">
        <v>74</v>
      </c>
      <c r="B738" t="s">
        <v>75</v>
      </c>
      <c r="C738" t="s">
        <v>70</v>
      </c>
      <c r="D738" t="s">
        <v>411</v>
      </c>
      <c r="E738" t="s">
        <v>414</v>
      </c>
      <c r="F738">
        <v>30524.79</v>
      </c>
      <c r="H738">
        <v>134793.63</v>
      </c>
      <c r="I738">
        <v>24737.599999999999</v>
      </c>
      <c r="J738" t="s">
        <v>77</v>
      </c>
      <c r="K738">
        <v>5</v>
      </c>
      <c r="M738" t="s">
        <v>130</v>
      </c>
      <c r="N738" t="s">
        <v>31</v>
      </c>
    </row>
    <row r="739" spans="1:14" x14ac:dyDescent="0.25">
      <c r="A739" t="s">
        <v>78</v>
      </c>
      <c r="B739" t="s">
        <v>79</v>
      </c>
      <c r="C739" t="s">
        <v>126</v>
      </c>
      <c r="D739" t="s">
        <v>411</v>
      </c>
      <c r="E739" t="s">
        <v>414</v>
      </c>
      <c r="F739">
        <v>20283.490000000002</v>
      </c>
      <c r="H739">
        <v>86885.84</v>
      </c>
      <c r="I739">
        <v>24590.59</v>
      </c>
      <c r="J739" t="s">
        <v>19</v>
      </c>
      <c r="K739">
        <v>2</v>
      </c>
      <c r="M739" t="s">
        <v>20</v>
      </c>
      <c r="N739" t="s">
        <v>38</v>
      </c>
    </row>
    <row r="740" spans="1:14" x14ac:dyDescent="0.25">
      <c r="A740" t="s">
        <v>82</v>
      </c>
      <c r="B740" t="s">
        <v>83</v>
      </c>
      <c r="C740" t="s">
        <v>126</v>
      </c>
      <c r="D740" t="s">
        <v>415</v>
      </c>
      <c r="E740" t="s">
        <v>414</v>
      </c>
      <c r="F740" t="s">
        <v>421</v>
      </c>
      <c r="H740">
        <v>109826.73</v>
      </c>
      <c r="I740">
        <v>27334.09</v>
      </c>
      <c r="J740" t="s">
        <v>36</v>
      </c>
      <c r="K740">
        <v>6</v>
      </c>
      <c r="M740" t="s">
        <v>20</v>
      </c>
      <c r="N740" t="s">
        <v>127</v>
      </c>
    </row>
    <row r="741" spans="1:14" x14ac:dyDescent="0.25">
      <c r="A741" t="s">
        <v>84</v>
      </c>
      <c r="B741" t="s">
        <v>85</v>
      </c>
      <c r="C741" t="s">
        <v>116</v>
      </c>
      <c r="D741" t="s">
        <v>411</v>
      </c>
      <c r="E741" t="s">
        <v>414</v>
      </c>
      <c r="F741">
        <v>19135.150000000001</v>
      </c>
      <c r="H741" t="s">
        <v>422</v>
      </c>
      <c r="I741">
        <v>14047.71</v>
      </c>
      <c r="J741" t="s">
        <v>25</v>
      </c>
      <c r="K741">
        <v>2</v>
      </c>
      <c r="M741" t="s">
        <v>58</v>
      </c>
      <c r="N741" t="s">
        <v>31</v>
      </c>
    </row>
    <row r="742" spans="1:14" x14ac:dyDescent="0.25">
      <c r="A742" t="s">
        <v>87</v>
      </c>
      <c r="B742" t="s">
        <v>88</v>
      </c>
      <c r="C742" t="s">
        <v>89</v>
      </c>
      <c r="D742" t="s">
        <v>411</v>
      </c>
      <c r="E742" t="s">
        <v>414</v>
      </c>
      <c r="F742">
        <v>20591.419999999998</v>
      </c>
      <c r="H742">
        <v>96902.39</v>
      </c>
      <c r="I742">
        <v>24292.07</v>
      </c>
      <c r="J742" t="s">
        <v>25</v>
      </c>
      <c r="K742">
        <v>2</v>
      </c>
      <c r="M742" t="s">
        <v>58</v>
      </c>
      <c r="N742" t="s">
        <v>26</v>
      </c>
    </row>
    <row r="743" spans="1:14" x14ac:dyDescent="0.25">
      <c r="A743" t="s">
        <v>90</v>
      </c>
      <c r="B743" t="s">
        <v>91</v>
      </c>
      <c r="C743" t="s">
        <v>126</v>
      </c>
      <c r="D743" t="s">
        <v>418</v>
      </c>
      <c r="E743" t="s">
        <v>423</v>
      </c>
      <c r="F743" t="s">
        <v>424</v>
      </c>
      <c r="H743">
        <v>64914.87</v>
      </c>
      <c r="I743">
        <v>21270.46</v>
      </c>
      <c r="J743" t="s">
        <v>36</v>
      </c>
      <c r="K743">
        <v>9</v>
      </c>
      <c r="M743" t="s">
        <v>42</v>
      </c>
      <c r="N743" t="s">
        <v>115</v>
      </c>
    </row>
    <row r="744" spans="1:14" x14ac:dyDescent="0.25">
      <c r="A744" t="s">
        <v>96</v>
      </c>
      <c r="B744" t="s">
        <v>97</v>
      </c>
      <c r="C744" t="s">
        <v>137</v>
      </c>
      <c r="D744" t="s">
        <v>411</v>
      </c>
      <c r="E744" t="s">
        <v>419</v>
      </c>
      <c r="F744">
        <v>22069.46</v>
      </c>
      <c r="H744">
        <v>77431.360000000001</v>
      </c>
      <c r="I744">
        <v>19996.61</v>
      </c>
      <c r="J744" t="s">
        <v>19</v>
      </c>
      <c r="K744">
        <v>11</v>
      </c>
      <c r="M744" t="s">
        <v>42</v>
      </c>
    </row>
    <row r="745" spans="1:14" x14ac:dyDescent="0.25">
      <c r="A745" t="s">
        <v>14</v>
      </c>
      <c r="B745" t="s">
        <v>15</v>
      </c>
      <c r="C745" t="s">
        <v>29</v>
      </c>
      <c r="D745" t="s">
        <v>425</v>
      </c>
      <c r="E745" t="s">
        <v>423</v>
      </c>
      <c r="F745">
        <v>219810.23</v>
      </c>
      <c r="H745">
        <v>1002726.46</v>
      </c>
      <c r="I745">
        <v>302247.93</v>
      </c>
      <c r="J745" t="s">
        <v>36</v>
      </c>
      <c r="K745">
        <v>6</v>
      </c>
      <c r="M745" t="s">
        <v>42</v>
      </c>
      <c r="N745" t="s">
        <v>113</v>
      </c>
    </row>
    <row r="746" spans="1:14" x14ac:dyDescent="0.25">
      <c r="A746" t="s">
        <v>21</v>
      </c>
      <c r="B746" t="s">
        <v>22</v>
      </c>
      <c r="C746" t="s">
        <v>29</v>
      </c>
      <c r="D746" t="s">
        <v>425</v>
      </c>
      <c r="E746" t="s">
        <v>414</v>
      </c>
      <c r="F746">
        <v>81305.5</v>
      </c>
      <c r="H746">
        <v>234087.97</v>
      </c>
      <c r="I746">
        <v>52289.43</v>
      </c>
      <c r="J746" t="s">
        <v>19</v>
      </c>
      <c r="K746">
        <v>2</v>
      </c>
      <c r="M746" t="s">
        <v>30</v>
      </c>
    </row>
    <row r="747" spans="1:14" x14ac:dyDescent="0.25">
      <c r="A747" t="s">
        <v>27</v>
      </c>
      <c r="B747" t="s">
        <v>28</v>
      </c>
      <c r="C747" t="s">
        <v>46</v>
      </c>
      <c r="D747" t="s">
        <v>426</v>
      </c>
      <c r="E747" t="s">
        <v>414</v>
      </c>
      <c r="F747">
        <v>173718.39999999999</v>
      </c>
      <c r="H747">
        <v>583145.37</v>
      </c>
      <c r="I747">
        <v>141855.82</v>
      </c>
      <c r="J747" t="s">
        <v>77</v>
      </c>
      <c r="K747">
        <v>4</v>
      </c>
      <c r="M747" t="s">
        <v>99</v>
      </c>
      <c r="N747" t="s">
        <v>31</v>
      </c>
    </row>
    <row r="748" spans="1:14" x14ac:dyDescent="0.25">
      <c r="A748" t="s">
        <v>32</v>
      </c>
      <c r="B748" t="s">
        <v>33</v>
      </c>
      <c r="C748" t="s">
        <v>16</v>
      </c>
      <c r="D748" t="s">
        <v>427</v>
      </c>
      <c r="E748" t="s">
        <v>412</v>
      </c>
      <c r="F748">
        <v>188961.46</v>
      </c>
      <c r="H748">
        <v>857380.41</v>
      </c>
      <c r="I748">
        <v>194001.22</v>
      </c>
      <c r="J748" t="s">
        <v>41</v>
      </c>
      <c r="K748">
        <v>5</v>
      </c>
      <c r="M748" t="s">
        <v>20</v>
      </c>
      <c r="N748" t="s">
        <v>110</v>
      </c>
    </row>
    <row r="749" spans="1:14" x14ac:dyDescent="0.25">
      <c r="A749" t="s">
        <v>39</v>
      </c>
      <c r="B749" t="s">
        <v>40</v>
      </c>
      <c r="C749" t="s">
        <v>29</v>
      </c>
      <c r="D749" t="s">
        <v>425</v>
      </c>
      <c r="E749" t="s">
        <v>414</v>
      </c>
      <c r="F749">
        <v>209647.23</v>
      </c>
      <c r="H749">
        <v>789239.87</v>
      </c>
      <c r="I749">
        <v>195711.46</v>
      </c>
      <c r="J749" t="s">
        <v>104</v>
      </c>
      <c r="K749">
        <v>5</v>
      </c>
      <c r="M749" t="s">
        <v>30</v>
      </c>
      <c r="N749" t="s">
        <v>65</v>
      </c>
    </row>
    <row r="750" spans="1:14" x14ac:dyDescent="0.25">
      <c r="A750" t="s">
        <v>44</v>
      </c>
      <c r="B750" t="s">
        <v>45</v>
      </c>
      <c r="C750" t="s">
        <v>118</v>
      </c>
      <c r="D750" t="s">
        <v>428</v>
      </c>
      <c r="E750" t="s">
        <v>414</v>
      </c>
      <c r="F750">
        <v>140503.48000000001</v>
      </c>
      <c r="H750">
        <v>694915.67</v>
      </c>
      <c r="I750">
        <v>168839.92</v>
      </c>
      <c r="J750" t="s">
        <v>41</v>
      </c>
      <c r="K750">
        <v>3</v>
      </c>
      <c r="M750" t="s">
        <v>20</v>
      </c>
    </row>
    <row r="751" spans="1:14" x14ac:dyDescent="0.25">
      <c r="A751" t="s">
        <v>49</v>
      </c>
      <c r="B751" t="s">
        <v>50</v>
      </c>
      <c r="C751" t="s">
        <v>76</v>
      </c>
      <c r="D751" t="s">
        <v>425</v>
      </c>
      <c r="E751" t="s">
        <v>414</v>
      </c>
      <c r="F751">
        <v>41656.78</v>
      </c>
      <c r="H751">
        <v>105026.1</v>
      </c>
      <c r="I751">
        <v>27700.66</v>
      </c>
      <c r="J751" t="s">
        <v>19</v>
      </c>
      <c r="K751">
        <v>1</v>
      </c>
      <c r="M751" t="s">
        <v>177</v>
      </c>
      <c r="N751" t="s">
        <v>95</v>
      </c>
    </row>
    <row r="752" spans="1:14" x14ac:dyDescent="0.25">
      <c r="A752" t="s">
        <v>55</v>
      </c>
      <c r="B752" t="s">
        <v>56</v>
      </c>
      <c r="C752" t="s">
        <v>51</v>
      </c>
      <c r="D752" t="s">
        <v>428</v>
      </c>
      <c r="E752" t="s">
        <v>419</v>
      </c>
      <c r="F752">
        <v>35251.21</v>
      </c>
      <c r="H752">
        <v>115427.22</v>
      </c>
      <c r="I752">
        <v>40327.230000000003</v>
      </c>
      <c r="J752" t="s">
        <v>53</v>
      </c>
      <c r="K752">
        <v>1</v>
      </c>
      <c r="M752" t="s">
        <v>64</v>
      </c>
    </row>
    <row r="753" spans="1:14" x14ac:dyDescent="0.25">
      <c r="A753" t="s">
        <v>59</v>
      </c>
      <c r="B753" t="s">
        <v>60</v>
      </c>
      <c r="C753" t="s">
        <v>51</v>
      </c>
      <c r="D753" t="s">
        <v>429</v>
      </c>
      <c r="E753" t="s">
        <v>423</v>
      </c>
      <c r="F753">
        <v>89880.24</v>
      </c>
      <c r="H753">
        <v>260067.13</v>
      </c>
      <c r="I753">
        <v>69576.160000000003</v>
      </c>
      <c r="J753" t="s">
        <v>36</v>
      </c>
      <c r="K753">
        <v>4</v>
      </c>
      <c r="M753" t="s">
        <v>42</v>
      </c>
      <c r="N753" t="s">
        <v>38</v>
      </c>
    </row>
    <row r="754" spans="1:14" x14ac:dyDescent="0.25">
      <c r="A754" t="s">
        <v>62</v>
      </c>
      <c r="B754" t="s">
        <v>63</v>
      </c>
      <c r="C754" t="s">
        <v>51</v>
      </c>
      <c r="D754" t="s">
        <v>425</v>
      </c>
      <c r="E754" t="s">
        <v>414</v>
      </c>
      <c r="F754">
        <v>85829.83</v>
      </c>
      <c r="H754">
        <v>396345.58</v>
      </c>
      <c r="I754">
        <v>85528.62</v>
      </c>
      <c r="J754" t="s">
        <v>19</v>
      </c>
      <c r="K754">
        <v>4</v>
      </c>
      <c r="M754" t="s">
        <v>58</v>
      </c>
      <c r="N754" t="s">
        <v>26</v>
      </c>
    </row>
    <row r="755" spans="1:14" x14ac:dyDescent="0.25">
      <c r="A755" t="s">
        <v>66</v>
      </c>
      <c r="B755" t="s">
        <v>67</v>
      </c>
      <c r="C755" t="s">
        <v>76</v>
      </c>
      <c r="D755" t="s">
        <v>427</v>
      </c>
      <c r="E755" t="s">
        <v>423</v>
      </c>
      <c r="F755">
        <v>49963.69</v>
      </c>
      <c r="H755">
        <v>154794.26999999999</v>
      </c>
      <c r="I755">
        <v>38648.99</v>
      </c>
      <c r="J755" t="s">
        <v>36</v>
      </c>
      <c r="K755">
        <v>6</v>
      </c>
      <c r="M755" t="s">
        <v>54</v>
      </c>
      <c r="N755" t="s">
        <v>26</v>
      </c>
    </row>
    <row r="756" spans="1:14" x14ac:dyDescent="0.25">
      <c r="A756" t="s">
        <v>74</v>
      </c>
      <c r="B756" t="s">
        <v>75</v>
      </c>
      <c r="C756" t="s">
        <v>70</v>
      </c>
      <c r="D756" t="s">
        <v>426</v>
      </c>
      <c r="E756" t="s">
        <v>419</v>
      </c>
      <c r="F756">
        <v>78217.64</v>
      </c>
      <c r="H756">
        <v>354427.37</v>
      </c>
      <c r="I756">
        <v>122034.28</v>
      </c>
      <c r="J756" t="s">
        <v>41</v>
      </c>
      <c r="K756">
        <v>6</v>
      </c>
      <c r="M756" t="s">
        <v>20</v>
      </c>
      <c r="N756" t="s">
        <v>113</v>
      </c>
    </row>
    <row r="757" spans="1:14" x14ac:dyDescent="0.25">
      <c r="A757" t="s">
        <v>78</v>
      </c>
      <c r="B757" t="s">
        <v>79</v>
      </c>
      <c r="C757" t="s">
        <v>80</v>
      </c>
      <c r="D757" t="s">
        <v>430</v>
      </c>
      <c r="E757" t="s">
        <v>423</v>
      </c>
      <c r="F757">
        <v>12432.84</v>
      </c>
      <c r="H757">
        <v>33979.449999999997</v>
      </c>
      <c r="I757">
        <v>8048.87</v>
      </c>
      <c r="J757" t="s">
        <v>19</v>
      </c>
      <c r="K757">
        <v>2</v>
      </c>
      <c r="M757" t="s">
        <v>92</v>
      </c>
      <c r="N757" t="s">
        <v>81</v>
      </c>
    </row>
    <row r="758" spans="1:14" x14ac:dyDescent="0.25">
      <c r="A758" t="s">
        <v>82</v>
      </c>
      <c r="B758" t="s">
        <v>83</v>
      </c>
      <c r="C758" t="s">
        <v>86</v>
      </c>
      <c r="D758" t="s">
        <v>429</v>
      </c>
      <c r="E758" t="s">
        <v>416</v>
      </c>
      <c r="F758">
        <v>24365.63</v>
      </c>
      <c r="H758">
        <v>91436.73</v>
      </c>
      <c r="I758">
        <v>21627.35</v>
      </c>
      <c r="J758" t="s">
        <v>53</v>
      </c>
      <c r="K758">
        <v>12</v>
      </c>
      <c r="M758" t="s">
        <v>54</v>
      </c>
      <c r="N758" t="s">
        <v>115</v>
      </c>
    </row>
    <row r="759" spans="1:14" x14ac:dyDescent="0.25">
      <c r="A759" t="s">
        <v>84</v>
      </c>
      <c r="B759" t="s">
        <v>85</v>
      </c>
      <c r="C759" t="s">
        <v>89</v>
      </c>
      <c r="D759" t="s">
        <v>425</v>
      </c>
      <c r="E759" t="s">
        <v>414</v>
      </c>
      <c r="F759">
        <v>27415.89</v>
      </c>
      <c r="H759">
        <v>105468.42</v>
      </c>
      <c r="I759">
        <v>19782.43</v>
      </c>
      <c r="J759" t="s">
        <v>41</v>
      </c>
      <c r="K759">
        <v>7</v>
      </c>
      <c r="M759" t="s">
        <v>54</v>
      </c>
      <c r="N759" t="s">
        <v>81</v>
      </c>
    </row>
    <row r="760" spans="1:14" x14ac:dyDescent="0.25">
      <c r="A760" t="s">
        <v>87</v>
      </c>
      <c r="B760" t="s">
        <v>88</v>
      </c>
      <c r="C760" t="s">
        <v>116</v>
      </c>
      <c r="D760" t="s">
        <v>427</v>
      </c>
      <c r="E760" t="s">
        <v>414</v>
      </c>
      <c r="F760">
        <v>14018.29</v>
      </c>
      <c r="H760">
        <v>66289.440000000002</v>
      </c>
      <c r="I760">
        <v>21136.07</v>
      </c>
      <c r="J760" t="s">
        <v>104</v>
      </c>
      <c r="K760">
        <v>12</v>
      </c>
      <c r="M760" t="s">
        <v>99</v>
      </c>
      <c r="N760" t="s">
        <v>65</v>
      </c>
    </row>
    <row r="761" spans="1:14" x14ac:dyDescent="0.25">
      <c r="A761" t="s">
        <v>93</v>
      </c>
      <c r="B761" t="s">
        <v>94</v>
      </c>
      <c r="C761" t="s">
        <v>89</v>
      </c>
      <c r="D761" t="s">
        <v>425</v>
      </c>
      <c r="E761" t="s">
        <v>414</v>
      </c>
      <c r="F761">
        <v>41265.74</v>
      </c>
      <c r="H761">
        <v>104850.4</v>
      </c>
      <c r="I761">
        <v>31934.03</v>
      </c>
      <c r="J761" t="s">
        <v>53</v>
      </c>
      <c r="K761">
        <v>12</v>
      </c>
      <c r="M761" t="s">
        <v>54</v>
      </c>
      <c r="N761" t="s">
        <v>105</v>
      </c>
    </row>
    <row r="762" spans="1:14" x14ac:dyDescent="0.25">
      <c r="A762" t="s">
        <v>96</v>
      </c>
      <c r="B762" t="s">
        <v>97</v>
      </c>
      <c r="C762" t="s">
        <v>116</v>
      </c>
      <c r="D762" t="s">
        <v>425</v>
      </c>
      <c r="E762" t="s">
        <v>414</v>
      </c>
      <c r="F762">
        <v>18503.72</v>
      </c>
      <c r="H762">
        <v>54458.13</v>
      </c>
      <c r="I762">
        <v>9934.0300000000007</v>
      </c>
      <c r="J762" t="s">
        <v>36</v>
      </c>
      <c r="K762">
        <v>8</v>
      </c>
      <c r="M762" t="s">
        <v>58</v>
      </c>
      <c r="N762" t="s">
        <v>65</v>
      </c>
    </row>
    <row r="763" spans="1:14" x14ac:dyDescent="0.25">
      <c r="A763" t="s">
        <v>14</v>
      </c>
      <c r="B763" t="s">
        <v>15</v>
      </c>
      <c r="C763" t="s">
        <v>16</v>
      </c>
      <c r="D763" t="s">
        <v>431</v>
      </c>
      <c r="E763" t="s">
        <v>414</v>
      </c>
      <c r="F763">
        <v>139702.91</v>
      </c>
      <c r="H763">
        <v>475489.22</v>
      </c>
      <c r="I763">
        <v>108930.94</v>
      </c>
      <c r="J763" t="s">
        <v>36</v>
      </c>
      <c r="K763">
        <v>5</v>
      </c>
      <c r="M763" t="s">
        <v>30</v>
      </c>
      <c r="N763" t="s">
        <v>125</v>
      </c>
    </row>
    <row r="764" spans="1:14" x14ac:dyDescent="0.25">
      <c r="A764" t="s">
        <v>21</v>
      </c>
      <c r="B764" t="s">
        <v>22</v>
      </c>
      <c r="C764" t="s">
        <v>16</v>
      </c>
      <c r="D764" t="s">
        <v>432</v>
      </c>
      <c r="E764" t="s">
        <v>414</v>
      </c>
      <c r="F764">
        <v>103577.01</v>
      </c>
      <c r="H764">
        <v>3794127</v>
      </c>
      <c r="I764">
        <v>111384.71</v>
      </c>
      <c r="J764" t="s">
        <v>104</v>
      </c>
      <c r="K764">
        <v>3</v>
      </c>
      <c r="M764" t="s">
        <v>42</v>
      </c>
      <c r="N764" t="s">
        <v>125</v>
      </c>
    </row>
    <row r="765" spans="1:14" x14ac:dyDescent="0.25">
      <c r="A765" t="s">
        <v>27</v>
      </c>
      <c r="B765" t="s">
        <v>28</v>
      </c>
      <c r="C765" t="s">
        <v>118</v>
      </c>
      <c r="D765" t="s">
        <v>433</v>
      </c>
      <c r="E765" t="s">
        <v>414</v>
      </c>
      <c r="F765">
        <v>102447.58</v>
      </c>
      <c r="H765">
        <v>393093.71</v>
      </c>
      <c r="I765">
        <v>132551.74</v>
      </c>
      <c r="J765" t="s">
        <v>19</v>
      </c>
      <c r="K765">
        <v>6</v>
      </c>
      <c r="M765" t="s">
        <v>42</v>
      </c>
    </row>
    <row r="766" spans="1:14" x14ac:dyDescent="0.25">
      <c r="A766" t="s">
        <v>32</v>
      </c>
      <c r="B766" t="s">
        <v>33</v>
      </c>
      <c r="C766" t="s">
        <v>118</v>
      </c>
      <c r="D766" t="s">
        <v>432</v>
      </c>
      <c r="E766" t="s">
        <v>414</v>
      </c>
      <c r="F766">
        <v>184682.81</v>
      </c>
      <c r="H766">
        <v>9200192</v>
      </c>
      <c r="I766">
        <v>268414.93</v>
      </c>
      <c r="J766" t="s">
        <v>19</v>
      </c>
      <c r="K766">
        <v>4</v>
      </c>
      <c r="M766" t="s">
        <v>20</v>
      </c>
      <c r="N766" t="s">
        <v>95</v>
      </c>
    </row>
    <row r="767" spans="1:14" x14ac:dyDescent="0.25">
      <c r="A767" t="s">
        <v>39</v>
      </c>
      <c r="B767" t="s">
        <v>40</v>
      </c>
      <c r="C767" t="s">
        <v>16</v>
      </c>
      <c r="D767" t="s">
        <v>431</v>
      </c>
      <c r="E767" t="s">
        <v>414</v>
      </c>
      <c r="F767">
        <v>138174.72</v>
      </c>
      <c r="H767">
        <v>680366.68</v>
      </c>
      <c r="I767">
        <v>132323.35999999999</v>
      </c>
      <c r="J767" t="s">
        <v>53</v>
      </c>
      <c r="K767">
        <v>1</v>
      </c>
      <c r="M767" t="s">
        <v>54</v>
      </c>
      <c r="N767" t="s">
        <v>115</v>
      </c>
    </row>
    <row r="768" spans="1:14" x14ac:dyDescent="0.25">
      <c r="A768" t="s">
        <v>44</v>
      </c>
      <c r="B768" t="s">
        <v>45</v>
      </c>
      <c r="C768" t="s">
        <v>34</v>
      </c>
      <c r="D768" t="s">
        <v>431</v>
      </c>
      <c r="E768" t="s">
        <v>414</v>
      </c>
      <c r="F768">
        <v>169331.24</v>
      </c>
      <c r="H768">
        <v>650689.81000000006</v>
      </c>
      <c r="I768">
        <v>121431.47</v>
      </c>
      <c r="J768" t="s">
        <v>104</v>
      </c>
      <c r="K768">
        <v>1</v>
      </c>
      <c r="M768" t="s">
        <v>42</v>
      </c>
    </row>
    <row r="769" spans="1:14" x14ac:dyDescent="0.25">
      <c r="A769" t="s">
        <v>49</v>
      </c>
      <c r="B769" t="s">
        <v>50</v>
      </c>
      <c r="C769" t="s">
        <v>57</v>
      </c>
      <c r="D769" t="s">
        <v>431</v>
      </c>
      <c r="E769" t="s">
        <v>414</v>
      </c>
      <c r="F769">
        <v>45480.73</v>
      </c>
      <c r="H769">
        <v>146124.51</v>
      </c>
      <c r="I769">
        <v>28614.53</v>
      </c>
      <c r="J769" t="s">
        <v>41</v>
      </c>
      <c r="K769">
        <v>2</v>
      </c>
      <c r="M769" t="s">
        <v>64</v>
      </c>
    </row>
    <row r="770" spans="1:14" x14ac:dyDescent="0.25">
      <c r="A770" t="s">
        <v>55</v>
      </c>
      <c r="B770" t="s">
        <v>56</v>
      </c>
      <c r="C770" t="s">
        <v>76</v>
      </c>
      <c r="D770" t="s">
        <v>434</v>
      </c>
      <c r="E770" t="s">
        <v>412</v>
      </c>
      <c r="F770">
        <v>78022.3</v>
      </c>
      <c r="H770">
        <v>248991.56</v>
      </c>
      <c r="I770">
        <v>68108.009999999995</v>
      </c>
      <c r="J770" t="s">
        <v>25</v>
      </c>
      <c r="K770">
        <v>5</v>
      </c>
      <c r="M770" t="s">
        <v>112</v>
      </c>
      <c r="N770" t="s">
        <v>26</v>
      </c>
    </row>
    <row r="771" spans="1:14" x14ac:dyDescent="0.25">
      <c r="A771" t="s">
        <v>59</v>
      </c>
      <c r="B771" t="s">
        <v>60</v>
      </c>
      <c r="C771" t="s">
        <v>57</v>
      </c>
      <c r="D771" t="s">
        <v>431</v>
      </c>
      <c r="E771" t="s">
        <v>414</v>
      </c>
      <c r="F771">
        <v>60302.98</v>
      </c>
      <c r="H771">
        <v>239448.7</v>
      </c>
      <c r="I771">
        <v>62516.73</v>
      </c>
      <c r="J771" t="s">
        <v>41</v>
      </c>
      <c r="K771">
        <v>4</v>
      </c>
      <c r="M771" t="s">
        <v>20</v>
      </c>
      <c r="N771" t="s">
        <v>125</v>
      </c>
    </row>
    <row r="772" spans="1:14" x14ac:dyDescent="0.25">
      <c r="A772" t="s">
        <v>62</v>
      </c>
      <c r="B772" t="s">
        <v>63</v>
      </c>
      <c r="C772" t="s">
        <v>70</v>
      </c>
      <c r="D772" t="s">
        <v>433</v>
      </c>
      <c r="E772" t="s">
        <v>414</v>
      </c>
      <c r="F772">
        <v>64140.91</v>
      </c>
      <c r="H772">
        <v>6008.95</v>
      </c>
      <c r="I772">
        <v>1805.01</v>
      </c>
      <c r="J772" t="s">
        <v>41</v>
      </c>
      <c r="K772">
        <v>2</v>
      </c>
      <c r="M772" t="s">
        <v>54</v>
      </c>
    </row>
    <row r="773" spans="1:14" x14ac:dyDescent="0.25">
      <c r="A773" t="s">
        <v>66</v>
      </c>
      <c r="B773" t="s">
        <v>67</v>
      </c>
      <c r="C773" t="s">
        <v>61</v>
      </c>
      <c r="D773" t="s">
        <v>434</v>
      </c>
      <c r="E773" t="s">
        <v>414</v>
      </c>
      <c r="F773">
        <v>33562.300000000003</v>
      </c>
      <c r="H773">
        <v>139861.01</v>
      </c>
      <c r="I773">
        <v>37723.699999999997</v>
      </c>
      <c r="J773" t="s">
        <v>77</v>
      </c>
      <c r="K773">
        <v>3</v>
      </c>
      <c r="M773" t="s">
        <v>54</v>
      </c>
    </row>
    <row r="774" spans="1:14" x14ac:dyDescent="0.25">
      <c r="A774" t="s">
        <v>74</v>
      </c>
      <c r="B774" t="s">
        <v>75</v>
      </c>
      <c r="C774" t="s">
        <v>70</v>
      </c>
      <c r="D774" t="s">
        <v>431</v>
      </c>
      <c r="E774" t="s">
        <v>414</v>
      </c>
      <c r="F774">
        <v>65444.24</v>
      </c>
      <c r="H774">
        <v>276714.61</v>
      </c>
      <c r="I774">
        <v>88121.39</v>
      </c>
      <c r="J774" t="s">
        <v>41</v>
      </c>
      <c r="K774">
        <v>5</v>
      </c>
      <c r="M774" t="s">
        <v>58</v>
      </c>
      <c r="N774" t="s">
        <v>31</v>
      </c>
    </row>
    <row r="775" spans="1:14" x14ac:dyDescent="0.25">
      <c r="A775" t="s">
        <v>78</v>
      </c>
      <c r="B775" t="s">
        <v>79</v>
      </c>
      <c r="C775" t="s">
        <v>126</v>
      </c>
      <c r="D775" t="s">
        <v>431</v>
      </c>
      <c r="E775" t="s">
        <v>414</v>
      </c>
      <c r="F775">
        <v>23513.52</v>
      </c>
      <c r="H775">
        <v>100945.68</v>
      </c>
      <c r="I775">
        <v>18406.349999999999</v>
      </c>
      <c r="J775" t="s">
        <v>19</v>
      </c>
      <c r="K775">
        <v>3</v>
      </c>
      <c r="M775" t="s">
        <v>20</v>
      </c>
      <c r="N775" t="s">
        <v>31</v>
      </c>
    </row>
    <row r="776" spans="1:14" x14ac:dyDescent="0.25">
      <c r="A776" t="s">
        <v>82</v>
      </c>
      <c r="B776" t="s">
        <v>83</v>
      </c>
      <c r="C776" t="s">
        <v>116</v>
      </c>
      <c r="D776" t="s">
        <v>431</v>
      </c>
      <c r="E776" t="s">
        <v>414</v>
      </c>
      <c r="F776">
        <v>17752.32</v>
      </c>
      <c r="H776">
        <v>82989.919999999998</v>
      </c>
      <c r="I776">
        <v>24282.15</v>
      </c>
      <c r="J776" t="s">
        <v>19</v>
      </c>
      <c r="K776">
        <v>9</v>
      </c>
      <c r="M776" t="s">
        <v>42</v>
      </c>
      <c r="N776" t="s">
        <v>110</v>
      </c>
    </row>
    <row r="777" spans="1:14" x14ac:dyDescent="0.25">
      <c r="A777" t="s">
        <v>84</v>
      </c>
      <c r="B777" t="s">
        <v>85</v>
      </c>
      <c r="C777" t="s">
        <v>137</v>
      </c>
      <c r="D777" t="s">
        <v>435</v>
      </c>
      <c r="E777" t="s">
        <v>414</v>
      </c>
      <c r="F777">
        <v>13503.68</v>
      </c>
      <c r="H777">
        <v>43455.17</v>
      </c>
      <c r="I777">
        <v>9129.94</v>
      </c>
      <c r="J777" t="s">
        <v>25</v>
      </c>
      <c r="K777">
        <v>2</v>
      </c>
      <c r="M777" t="s">
        <v>54</v>
      </c>
      <c r="N777" t="s">
        <v>38</v>
      </c>
    </row>
    <row r="778" spans="1:14" x14ac:dyDescent="0.25">
      <c r="A778" t="s">
        <v>87</v>
      </c>
      <c r="B778" t="s">
        <v>88</v>
      </c>
      <c r="C778" t="s">
        <v>80</v>
      </c>
      <c r="D778" t="s">
        <v>431</v>
      </c>
      <c r="E778" t="s">
        <v>414</v>
      </c>
      <c r="F778">
        <v>20969.46</v>
      </c>
      <c r="H778">
        <v>59421.51</v>
      </c>
      <c r="I778">
        <v>17213.669999999998</v>
      </c>
      <c r="J778" t="s">
        <v>19</v>
      </c>
      <c r="K778">
        <v>8</v>
      </c>
      <c r="M778" t="s">
        <v>54</v>
      </c>
    </row>
    <row r="779" spans="1:14" x14ac:dyDescent="0.25">
      <c r="A779" t="s">
        <v>90</v>
      </c>
      <c r="B779" t="s">
        <v>91</v>
      </c>
      <c r="C779" t="s">
        <v>89</v>
      </c>
      <c r="D779" t="s">
        <v>431</v>
      </c>
      <c r="E779" t="s">
        <v>414</v>
      </c>
      <c r="F779">
        <v>528152</v>
      </c>
      <c r="H779">
        <v>110299.87</v>
      </c>
      <c r="I779">
        <v>24377.200000000001</v>
      </c>
      <c r="J779" t="s">
        <v>25</v>
      </c>
      <c r="K779">
        <v>6</v>
      </c>
      <c r="M779" t="s">
        <v>58</v>
      </c>
    </row>
    <row r="780" spans="1:14" x14ac:dyDescent="0.25">
      <c r="A780" t="s">
        <v>93</v>
      </c>
      <c r="B780" t="s">
        <v>94</v>
      </c>
      <c r="C780" t="s">
        <v>80</v>
      </c>
      <c r="D780" t="s">
        <v>432</v>
      </c>
      <c r="E780" t="s">
        <v>414</v>
      </c>
      <c r="F780">
        <v>28821.360000000001</v>
      </c>
      <c r="H780">
        <v>102665.2</v>
      </c>
      <c r="I780">
        <v>23225.95</v>
      </c>
      <c r="J780" t="s">
        <v>36</v>
      </c>
      <c r="K780">
        <v>5</v>
      </c>
      <c r="M780" t="s">
        <v>54</v>
      </c>
      <c r="N780" t="s">
        <v>95</v>
      </c>
    </row>
    <row r="781" spans="1:14" x14ac:dyDescent="0.25">
      <c r="A781" t="s">
        <v>96</v>
      </c>
      <c r="B781" t="s">
        <v>97</v>
      </c>
      <c r="C781" t="s">
        <v>126</v>
      </c>
      <c r="D781" t="s">
        <v>433</v>
      </c>
      <c r="E781" t="s">
        <v>423</v>
      </c>
      <c r="F781">
        <v>14511.51</v>
      </c>
      <c r="H781">
        <v>44535.02</v>
      </c>
      <c r="I781">
        <v>8140.71</v>
      </c>
      <c r="J781" t="s">
        <v>77</v>
      </c>
      <c r="K781">
        <v>3</v>
      </c>
      <c r="M781" t="s">
        <v>58</v>
      </c>
      <c r="N781" t="s">
        <v>110</v>
      </c>
    </row>
    <row r="782" spans="1:14" x14ac:dyDescent="0.25">
      <c r="A782" t="s">
        <v>14</v>
      </c>
      <c r="B782" t="s">
        <v>15</v>
      </c>
      <c r="C782" t="s">
        <v>46</v>
      </c>
      <c r="D782" t="s">
        <v>436</v>
      </c>
      <c r="E782" t="s">
        <v>414</v>
      </c>
      <c r="F782">
        <v>110902.5</v>
      </c>
      <c r="H782">
        <v>5804.59</v>
      </c>
      <c r="I782">
        <v>1624.56</v>
      </c>
      <c r="J782" t="s">
        <v>53</v>
      </c>
      <c r="K782">
        <v>1</v>
      </c>
      <c r="M782" t="s">
        <v>37</v>
      </c>
    </row>
    <row r="783" spans="1:14" x14ac:dyDescent="0.25">
      <c r="A783" t="s">
        <v>21</v>
      </c>
      <c r="B783" t="s">
        <v>22</v>
      </c>
      <c r="C783" t="s">
        <v>29</v>
      </c>
      <c r="D783" t="s">
        <v>437</v>
      </c>
      <c r="E783" t="s">
        <v>414</v>
      </c>
      <c r="F783">
        <v>133717.59</v>
      </c>
      <c r="H783">
        <v>515172.12</v>
      </c>
      <c r="I783">
        <v>153674.66</v>
      </c>
      <c r="J783" t="s">
        <v>25</v>
      </c>
      <c r="K783">
        <v>1</v>
      </c>
      <c r="M783" t="s">
        <v>130</v>
      </c>
      <c r="N783" t="s">
        <v>95</v>
      </c>
    </row>
    <row r="784" spans="1:14" x14ac:dyDescent="0.25">
      <c r="A784" t="s">
        <v>27</v>
      </c>
      <c r="B784" t="s">
        <v>28</v>
      </c>
      <c r="C784" t="s">
        <v>29</v>
      </c>
      <c r="D784" t="s">
        <v>438</v>
      </c>
      <c r="E784" t="s">
        <v>423</v>
      </c>
      <c r="F784">
        <v>185465.83</v>
      </c>
      <c r="H784">
        <v>539842.06000000006</v>
      </c>
      <c r="I784">
        <v>187173.95</v>
      </c>
      <c r="J784" t="s">
        <v>41</v>
      </c>
      <c r="K784">
        <v>5</v>
      </c>
      <c r="M784" t="s">
        <v>42</v>
      </c>
      <c r="N784" t="s">
        <v>73</v>
      </c>
    </row>
    <row r="785" spans="1:14" x14ac:dyDescent="0.25">
      <c r="A785" t="s">
        <v>32</v>
      </c>
      <c r="B785" t="s">
        <v>33</v>
      </c>
      <c r="C785" t="s">
        <v>34</v>
      </c>
      <c r="D785" t="s">
        <v>437</v>
      </c>
      <c r="E785" t="s">
        <v>414</v>
      </c>
      <c r="F785">
        <v>172632.58</v>
      </c>
      <c r="H785">
        <v>4809635</v>
      </c>
      <c r="I785">
        <v>164067.60999999999</v>
      </c>
      <c r="J785" t="s">
        <v>77</v>
      </c>
      <c r="K785">
        <v>2</v>
      </c>
      <c r="M785" t="s">
        <v>42</v>
      </c>
      <c r="N785" t="s">
        <v>125</v>
      </c>
    </row>
    <row r="786" spans="1:14" x14ac:dyDescent="0.25">
      <c r="A786" t="s">
        <v>39</v>
      </c>
      <c r="B786" t="s">
        <v>40</v>
      </c>
      <c r="C786" t="s">
        <v>111</v>
      </c>
      <c r="D786" t="s">
        <v>439</v>
      </c>
      <c r="E786" t="s">
        <v>423</v>
      </c>
      <c r="F786">
        <v>205006.05</v>
      </c>
      <c r="H786">
        <v>904290.71</v>
      </c>
      <c r="I786">
        <v>186406.64</v>
      </c>
      <c r="J786" t="s">
        <v>25</v>
      </c>
      <c r="K786">
        <v>1</v>
      </c>
      <c r="M786" t="s">
        <v>58</v>
      </c>
      <c r="N786" t="s">
        <v>65</v>
      </c>
    </row>
    <row r="787" spans="1:14" x14ac:dyDescent="0.25">
      <c r="A787" t="s">
        <v>44</v>
      </c>
      <c r="B787" t="s">
        <v>45</v>
      </c>
      <c r="C787" t="s">
        <v>118</v>
      </c>
      <c r="D787" t="s">
        <v>436</v>
      </c>
      <c r="E787" t="s">
        <v>416</v>
      </c>
      <c r="F787">
        <v>197136.6</v>
      </c>
      <c r="H787">
        <v>648446.46</v>
      </c>
      <c r="I787">
        <v>218822.3</v>
      </c>
      <c r="J787" t="s">
        <v>19</v>
      </c>
      <c r="K787">
        <v>1</v>
      </c>
      <c r="M787" t="s">
        <v>42</v>
      </c>
    </row>
    <row r="788" spans="1:14" x14ac:dyDescent="0.25">
      <c r="A788" t="s">
        <v>49</v>
      </c>
      <c r="B788" t="s">
        <v>50</v>
      </c>
      <c r="C788" t="s">
        <v>70</v>
      </c>
      <c r="D788" t="s">
        <v>438</v>
      </c>
      <c r="E788" t="s">
        <v>414</v>
      </c>
      <c r="F788">
        <v>26086.49</v>
      </c>
      <c r="H788">
        <v>113320.51</v>
      </c>
      <c r="I788">
        <v>30375.82</v>
      </c>
      <c r="J788" t="s">
        <v>36</v>
      </c>
      <c r="K788">
        <v>5</v>
      </c>
      <c r="M788" t="s">
        <v>58</v>
      </c>
    </row>
    <row r="789" spans="1:14" x14ac:dyDescent="0.25">
      <c r="A789" t="s">
        <v>55</v>
      </c>
      <c r="B789" t="s">
        <v>56</v>
      </c>
      <c r="C789" t="s">
        <v>76</v>
      </c>
      <c r="D789" t="s">
        <v>438</v>
      </c>
      <c r="E789" t="s">
        <v>414</v>
      </c>
      <c r="F789">
        <v>45579.49</v>
      </c>
      <c r="H789">
        <v>129466.27</v>
      </c>
      <c r="I789">
        <v>32717.75</v>
      </c>
      <c r="J789" t="s">
        <v>19</v>
      </c>
      <c r="K789">
        <v>2</v>
      </c>
      <c r="M789" t="s">
        <v>58</v>
      </c>
      <c r="N789" t="s">
        <v>81</v>
      </c>
    </row>
    <row r="790" spans="1:14" x14ac:dyDescent="0.25">
      <c r="A790" t="s">
        <v>59</v>
      </c>
      <c r="B790" t="s">
        <v>60</v>
      </c>
      <c r="C790" t="s">
        <v>70</v>
      </c>
      <c r="D790" t="s">
        <v>438</v>
      </c>
      <c r="E790" t="s">
        <v>414</v>
      </c>
      <c r="F790">
        <v>94537.93</v>
      </c>
      <c r="H790">
        <v>17298.21</v>
      </c>
      <c r="I790">
        <v>3184.86</v>
      </c>
      <c r="J790" t="s">
        <v>77</v>
      </c>
      <c r="K790">
        <v>6</v>
      </c>
      <c r="M790" t="s">
        <v>42</v>
      </c>
      <c r="N790" t="s">
        <v>95</v>
      </c>
    </row>
    <row r="791" spans="1:14" x14ac:dyDescent="0.25">
      <c r="A791" t="s">
        <v>62</v>
      </c>
      <c r="B791" t="s">
        <v>63</v>
      </c>
      <c r="C791" t="s">
        <v>76</v>
      </c>
      <c r="D791" t="s">
        <v>440</v>
      </c>
      <c r="E791" t="s">
        <v>412</v>
      </c>
      <c r="F791">
        <v>67850.759999999995</v>
      </c>
      <c r="H791">
        <v>174010.28</v>
      </c>
      <c r="I791">
        <v>41774.17</v>
      </c>
      <c r="J791" t="s">
        <v>77</v>
      </c>
      <c r="K791">
        <v>4</v>
      </c>
      <c r="M791" t="s">
        <v>54</v>
      </c>
    </row>
    <row r="792" spans="1:14" x14ac:dyDescent="0.25">
      <c r="A792" t="s">
        <v>66</v>
      </c>
      <c r="B792" t="s">
        <v>67</v>
      </c>
      <c r="C792" t="s">
        <v>61</v>
      </c>
      <c r="D792" t="s">
        <v>436</v>
      </c>
      <c r="E792" t="s">
        <v>414</v>
      </c>
      <c r="F792">
        <v>613303</v>
      </c>
      <c r="H792" t="s">
        <v>441</v>
      </c>
      <c r="I792">
        <v>40422.85</v>
      </c>
      <c r="J792" t="s">
        <v>41</v>
      </c>
      <c r="K792">
        <v>5</v>
      </c>
      <c r="M792" t="s">
        <v>42</v>
      </c>
      <c r="N792" t="s">
        <v>38</v>
      </c>
    </row>
    <row r="793" spans="1:14" x14ac:dyDescent="0.25">
      <c r="A793" t="s">
        <v>68</v>
      </c>
      <c r="B793" t="s">
        <v>69</v>
      </c>
      <c r="C793" t="s">
        <v>70</v>
      </c>
      <c r="D793" t="s">
        <v>440</v>
      </c>
      <c r="E793" t="s">
        <v>414</v>
      </c>
      <c r="F793">
        <v>50489.35</v>
      </c>
      <c r="H793" t="s">
        <v>442</v>
      </c>
      <c r="I793">
        <v>47621.13</v>
      </c>
      <c r="J793" t="s">
        <v>53</v>
      </c>
      <c r="K793">
        <v>5</v>
      </c>
      <c r="M793" t="s">
        <v>20</v>
      </c>
      <c r="N793" t="s">
        <v>125</v>
      </c>
    </row>
    <row r="794" spans="1:14" x14ac:dyDescent="0.25">
      <c r="A794" t="s">
        <v>74</v>
      </c>
      <c r="B794" t="s">
        <v>75</v>
      </c>
      <c r="C794" t="s">
        <v>57</v>
      </c>
      <c r="D794" t="s">
        <v>436</v>
      </c>
      <c r="E794" t="s">
        <v>414</v>
      </c>
      <c r="F794">
        <v>525189</v>
      </c>
      <c r="H794">
        <v>225084.02</v>
      </c>
      <c r="I794">
        <v>42544.54</v>
      </c>
      <c r="J794" t="s">
        <v>36</v>
      </c>
      <c r="K794">
        <v>2</v>
      </c>
      <c r="M794" t="s">
        <v>54</v>
      </c>
      <c r="N794" t="s">
        <v>115</v>
      </c>
    </row>
    <row r="795" spans="1:14" x14ac:dyDescent="0.25">
      <c r="A795" t="s">
        <v>78</v>
      </c>
      <c r="B795" t="s">
        <v>79</v>
      </c>
      <c r="C795" t="s">
        <v>89</v>
      </c>
      <c r="D795" t="s">
        <v>438</v>
      </c>
      <c r="E795" t="s">
        <v>414</v>
      </c>
      <c r="F795">
        <v>31361.79</v>
      </c>
      <c r="H795">
        <v>119847.17</v>
      </c>
      <c r="I795">
        <v>40219.5</v>
      </c>
      <c r="J795" t="s">
        <v>19</v>
      </c>
      <c r="K795">
        <v>2</v>
      </c>
      <c r="M795" t="s">
        <v>42</v>
      </c>
      <c r="N795" t="s">
        <v>101</v>
      </c>
    </row>
    <row r="796" spans="1:14" x14ac:dyDescent="0.25">
      <c r="A796" t="s">
        <v>82</v>
      </c>
      <c r="B796" t="s">
        <v>83</v>
      </c>
      <c r="C796" t="s">
        <v>116</v>
      </c>
      <c r="D796" t="s">
        <v>440</v>
      </c>
      <c r="E796" t="s">
        <v>414</v>
      </c>
      <c r="F796">
        <v>12802.94</v>
      </c>
      <c r="H796">
        <v>54305.1</v>
      </c>
      <c r="I796">
        <v>12499.71</v>
      </c>
      <c r="J796" t="s">
        <v>19</v>
      </c>
      <c r="K796">
        <v>4</v>
      </c>
      <c r="M796" t="s">
        <v>42</v>
      </c>
    </row>
    <row r="797" spans="1:14" x14ac:dyDescent="0.25">
      <c r="A797" t="s">
        <v>84</v>
      </c>
      <c r="B797" t="s">
        <v>85</v>
      </c>
      <c r="C797" t="s">
        <v>126</v>
      </c>
      <c r="D797" t="s">
        <v>439</v>
      </c>
      <c r="E797" t="s">
        <v>412</v>
      </c>
      <c r="F797">
        <v>10810.51</v>
      </c>
      <c r="H797" t="s">
        <v>443</v>
      </c>
      <c r="I797">
        <v>6324.45</v>
      </c>
      <c r="J797" t="s">
        <v>53</v>
      </c>
      <c r="K797">
        <v>8</v>
      </c>
      <c r="M797" t="s">
        <v>20</v>
      </c>
      <c r="N797" t="s">
        <v>105</v>
      </c>
    </row>
    <row r="798" spans="1:14" x14ac:dyDescent="0.25">
      <c r="A798" t="s">
        <v>87</v>
      </c>
      <c r="B798" t="s">
        <v>88</v>
      </c>
      <c r="C798" t="s">
        <v>116</v>
      </c>
      <c r="D798" t="s">
        <v>440</v>
      </c>
      <c r="E798" t="s">
        <v>414</v>
      </c>
      <c r="F798">
        <v>17964.29</v>
      </c>
      <c r="H798">
        <v>53307.01</v>
      </c>
      <c r="I798">
        <v>17438.3</v>
      </c>
      <c r="J798" t="s">
        <v>77</v>
      </c>
      <c r="K798">
        <v>2</v>
      </c>
      <c r="M798" t="s">
        <v>20</v>
      </c>
      <c r="N798" t="s">
        <v>113</v>
      </c>
    </row>
    <row r="799" spans="1:14" x14ac:dyDescent="0.25">
      <c r="A799" t="s">
        <v>90</v>
      </c>
      <c r="B799" t="s">
        <v>91</v>
      </c>
      <c r="C799" t="s">
        <v>116</v>
      </c>
      <c r="D799" t="s">
        <v>438</v>
      </c>
      <c r="E799" t="s">
        <v>414</v>
      </c>
      <c r="F799">
        <v>27731.06</v>
      </c>
      <c r="H799">
        <v>107880.09</v>
      </c>
      <c r="I799">
        <v>22691.21</v>
      </c>
      <c r="J799" t="s">
        <v>36</v>
      </c>
      <c r="K799">
        <v>6</v>
      </c>
      <c r="M799" t="s">
        <v>58</v>
      </c>
      <c r="N799" t="s">
        <v>105</v>
      </c>
    </row>
    <row r="800" spans="1:14" x14ac:dyDescent="0.25">
      <c r="A800" t="s">
        <v>93</v>
      </c>
      <c r="B800" t="s">
        <v>94</v>
      </c>
      <c r="C800" t="s">
        <v>126</v>
      </c>
      <c r="D800" t="s">
        <v>438</v>
      </c>
      <c r="E800" t="s">
        <v>414</v>
      </c>
      <c r="F800">
        <v>19126.25</v>
      </c>
      <c r="H800">
        <v>72976.81</v>
      </c>
      <c r="I800">
        <v>24096.33</v>
      </c>
      <c r="J800" t="s">
        <v>104</v>
      </c>
      <c r="K800">
        <v>3</v>
      </c>
      <c r="M800" t="s">
        <v>58</v>
      </c>
    </row>
    <row r="801" spans="1:14" x14ac:dyDescent="0.25">
      <c r="A801" t="s">
        <v>14</v>
      </c>
      <c r="B801" t="s">
        <v>15</v>
      </c>
      <c r="C801" t="s">
        <v>16</v>
      </c>
      <c r="D801" t="s">
        <v>444</v>
      </c>
      <c r="E801" t="s">
        <v>414</v>
      </c>
      <c r="F801">
        <v>113753.49</v>
      </c>
      <c r="H801">
        <v>477418.53</v>
      </c>
      <c r="I801">
        <v>96868.31</v>
      </c>
      <c r="J801" t="s">
        <v>53</v>
      </c>
      <c r="K801">
        <v>6</v>
      </c>
      <c r="M801" t="s">
        <v>58</v>
      </c>
      <c r="N801" t="s">
        <v>81</v>
      </c>
    </row>
    <row r="802" spans="1:14" x14ac:dyDescent="0.25">
      <c r="A802" t="s">
        <v>21</v>
      </c>
      <c r="B802" t="s">
        <v>22</v>
      </c>
      <c r="C802" t="s">
        <v>16</v>
      </c>
      <c r="D802" t="s">
        <v>445</v>
      </c>
      <c r="E802" t="s">
        <v>414</v>
      </c>
      <c r="F802">
        <v>66662.100000000006</v>
      </c>
      <c r="H802">
        <v>286694.71999999997</v>
      </c>
      <c r="I802">
        <v>52013.57</v>
      </c>
      <c r="J802" t="s">
        <v>104</v>
      </c>
      <c r="K802">
        <v>2</v>
      </c>
      <c r="M802" t="s">
        <v>30</v>
      </c>
      <c r="N802" t="s">
        <v>105</v>
      </c>
    </row>
    <row r="803" spans="1:14" x14ac:dyDescent="0.25">
      <c r="A803" t="s">
        <v>27</v>
      </c>
      <c r="B803" t="s">
        <v>28</v>
      </c>
      <c r="C803" t="s">
        <v>16</v>
      </c>
      <c r="D803" t="s">
        <v>446</v>
      </c>
      <c r="E803" t="s">
        <v>414</v>
      </c>
      <c r="F803">
        <v>126739.27</v>
      </c>
      <c r="H803">
        <v>474433.16</v>
      </c>
      <c r="I803">
        <v>151779.21</v>
      </c>
      <c r="J803" t="s">
        <v>77</v>
      </c>
      <c r="K803">
        <v>5</v>
      </c>
      <c r="M803" t="s">
        <v>20</v>
      </c>
      <c r="N803" t="s">
        <v>26</v>
      </c>
    </row>
    <row r="804" spans="1:14" x14ac:dyDescent="0.25">
      <c r="A804" t="s">
        <v>32</v>
      </c>
      <c r="B804" t="s">
        <v>33</v>
      </c>
      <c r="C804" t="s">
        <v>111</v>
      </c>
      <c r="D804" t="s">
        <v>445</v>
      </c>
      <c r="E804" t="s">
        <v>414</v>
      </c>
      <c r="F804">
        <v>201917.82</v>
      </c>
      <c r="H804">
        <v>795065.67</v>
      </c>
      <c r="I804">
        <v>182611.79</v>
      </c>
      <c r="J804" t="s">
        <v>41</v>
      </c>
      <c r="K804">
        <v>2</v>
      </c>
      <c r="M804" t="s">
        <v>20</v>
      </c>
    </row>
    <row r="805" spans="1:14" x14ac:dyDescent="0.25">
      <c r="A805" t="s">
        <v>39</v>
      </c>
      <c r="B805" t="s">
        <v>40</v>
      </c>
      <c r="C805" t="s">
        <v>34</v>
      </c>
      <c r="D805" t="s">
        <v>447</v>
      </c>
      <c r="E805" t="s">
        <v>414</v>
      </c>
      <c r="F805">
        <v>100703.52</v>
      </c>
      <c r="H805" t="s">
        <v>448</v>
      </c>
      <c r="I805">
        <v>61967.46</v>
      </c>
      <c r="J805" t="s">
        <v>19</v>
      </c>
      <c r="K805">
        <v>3</v>
      </c>
      <c r="M805" t="s">
        <v>37</v>
      </c>
      <c r="N805" t="s">
        <v>113</v>
      </c>
    </row>
    <row r="806" spans="1:14" x14ac:dyDescent="0.25">
      <c r="A806" t="s">
        <v>44</v>
      </c>
      <c r="B806" t="s">
        <v>45</v>
      </c>
      <c r="C806" t="s">
        <v>16</v>
      </c>
      <c r="D806" t="s">
        <v>445</v>
      </c>
      <c r="E806" t="s">
        <v>414</v>
      </c>
      <c r="F806">
        <v>127248.85</v>
      </c>
      <c r="H806">
        <v>443938.34</v>
      </c>
      <c r="I806">
        <v>139585.06</v>
      </c>
      <c r="J806" t="s">
        <v>104</v>
      </c>
      <c r="K806">
        <v>1</v>
      </c>
      <c r="M806" t="s">
        <v>30</v>
      </c>
    </row>
    <row r="807" spans="1:14" x14ac:dyDescent="0.25">
      <c r="A807" t="s">
        <v>49</v>
      </c>
      <c r="B807" t="s">
        <v>50</v>
      </c>
      <c r="C807" t="s">
        <v>51</v>
      </c>
      <c r="D807" t="s">
        <v>445</v>
      </c>
      <c r="E807" t="s">
        <v>412</v>
      </c>
      <c r="F807">
        <v>38204.32</v>
      </c>
      <c r="H807">
        <v>168360.33</v>
      </c>
      <c r="I807">
        <v>49907.79</v>
      </c>
      <c r="J807" t="s">
        <v>41</v>
      </c>
      <c r="K807">
        <v>1</v>
      </c>
      <c r="M807" t="s">
        <v>58</v>
      </c>
      <c r="N807" t="s">
        <v>65</v>
      </c>
    </row>
    <row r="808" spans="1:14" x14ac:dyDescent="0.25">
      <c r="A808" t="s">
        <v>55</v>
      </c>
      <c r="B808" t="s">
        <v>56</v>
      </c>
      <c r="C808" t="s">
        <v>114</v>
      </c>
      <c r="D808" t="s">
        <v>447</v>
      </c>
      <c r="E808" t="s">
        <v>414</v>
      </c>
      <c r="F808">
        <v>59123.17</v>
      </c>
      <c r="H808">
        <v>210548.47</v>
      </c>
      <c r="I808">
        <v>70199.179999999993</v>
      </c>
      <c r="J808" t="s">
        <v>25</v>
      </c>
      <c r="K808">
        <v>5</v>
      </c>
      <c r="M808" t="s">
        <v>54</v>
      </c>
      <c r="N808" t="s">
        <v>101</v>
      </c>
    </row>
    <row r="809" spans="1:14" x14ac:dyDescent="0.25">
      <c r="A809" t="s">
        <v>59</v>
      </c>
      <c r="B809" t="s">
        <v>60</v>
      </c>
      <c r="C809" t="s">
        <v>51</v>
      </c>
      <c r="D809" t="s">
        <v>445</v>
      </c>
      <c r="E809" t="s">
        <v>414</v>
      </c>
      <c r="F809">
        <v>61557.599999999999</v>
      </c>
      <c r="H809">
        <v>235243.59</v>
      </c>
      <c r="I809">
        <v>50820.46</v>
      </c>
      <c r="J809" t="s">
        <v>36</v>
      </c>
      <c r="K809">
        <v>6</v>
      </c>
      <c r="M809" t="s">
        <v>30</v>
      </c>
    </row>
    <row r="810" spans="1:14" x14ac:dyDescent="0.25">
      <c r="A810" t="s">
        <v>62</v>
      </c>
      <c r="B810" t="s">
        <v>63</v>
      </c>
      <c r="C810" t="s">
        <v>70</v>
      </c>
      <c r="D810" t="s">
        <v>444</v>
      </c>
      <c r="E810" t="s">
        <v>416</v>
      </c>
      <c r="F810">
        <v>33890.400000000001</v>
      </c>
      <c r="H810">
        <v>133366.12</v>
      </c>
      <c r="I810">
        <v>40208.68</v>
      </c>
      <c r="J810" t="s">
        <v>25</v>
      </c>
      <c r="K810">
        <v>4</v>
      </c>
      <c r="M810" t="s">
        <v>64</v>
      </c>
      <c r="N810" t="s">
        <v>73</v>
      </c>
    </row>
    <row r="811" spans="1:14" x14ac:dyDescent="0.25">
      <c r="A811" t="s">
        <v>66</v>
      </c>
      <c r="B811" t="s">
        <v>67</v>
      </c>
      <c r="C811" t="s">
        <v>114</v>
      </c>
      <c r="D811" t="s">
        <v>445</v>
      </c>
      <c r="E811" t="s">
        <v>414</v>
      </c>
      <c r="F811">
        <v>68504.960000000006</v>
      </c>
      <c r="H811">
        <v>299027.40000000002</v>
      </c>
      <c r="I811">
        <v>92514.4</v>
      </c>
      <c r="J811" t="s">
        <v>36</v>
      </c>
      <c r="K811">
        <v>4</v>
      </c>
      <c r="M811" t="s">
        <v>54</v>
      </c>
    </row>
    <row r="812" spans="1:14" x14ac:dyDescent="0.25">
      <c r="A812" t="s">
        <v>68</v>
      </c>
      <c r="B812" t="s">
        <v>69</v>
      </c>
      <c r="C812" t="s">
        <v>51</v>
      </c>
      <c r="D812" t="s">
        <v>445</v>
      </c>
      <c r="E812" t="s">
        <v>423</v>
      </c>
      <c r="F812">
        <v>31276.400000000001</v>
      </c>
      <c r="H812">
        <v>102398.42</v>
      </c>
      <c r="I812">
        <v>35401.71</v>
      </c>
      <c r="J812" t="s">
        <v>77</v>
      </c>
      <c r="K812">
        <v>2</v>
      </c>
      <c r="M812" t="s">
        <v>92</v>
      </c>
      <c r="N812" t="s">
        <v>115</v>
      </c>
    </row>
    <row r="813" spans="1:14" x14ac:dyDescent="0.25">
      <c r="A813" t="s">
        <v>74</v>
      </c>
      <c r="B813" t="s">
        <v>75</v>
      </c>
      <c r="C813" t="s">
        <v>76</v>
      </c>
      <c r="D813" t="s">
        <v>449</v>
      </c>
      <c r="E813" t="s">
        <v>414</v>
      </c>
      <c r="F813">
        <v>71980.66</v>
      </c>
      <c r="H813">
        <v>265064.71999999997</v>
      </c>
      <c r="I813">
        <v>53016.08</v>
      </c>
      <c r="J813" t="s">
        <v>77</v>
      </c>
      <c r="K813">
        <v>4</v>
      </c>
      <c r="M813" t="s">
        <v>112</v>
      </c>
      <c r="N813" t="s">
        <v>105</v>
      </c>
    </row>
    <row r="814" spans="1:14" x14ac:dyDescent="0.25">
      <c r="A814" t="s">
        <v>78</v>
      </c>
      <c r="B814" t="s">
        <v>79</v>
      </c>
      <c r="C814" t="s">
        <v>137</v>
      </c>
      <c r="D814" t="s">
        <v>447</v>
      </c>
      <c r="E814" t="s">
        <v>412</v>
      </c>
      <c r="F814">
        <v>25888.67</v>
      </c>
      <c r="H814">
        <v>106803.03</v>
      </c>
      <c r="I814">
        <v>28669.72</v>
      </c>
      <c r="J814" t="s">
        <v>19</v>
      </c>
      <c r="K814">
        <v>12</v>
      </c>
      <c r="M814" t="s">
        <v>177</v>
      </c>
    </row>
    <row r="815" spans="1:14" x14ac:dyDescent="0.25">
      <c r="A815" t="s">
        <v>82</v>
      </c>
      <c r="B815" t="s">
        <v>83</v>
      </c>
      <c r="C815" t="s">
        <v>80</v>
      </c>
      <c r="D815" t="s">
        <v>444</v>
      </c>
      <c r="E815" t="s">
        <v>414</v>
      </c>
      <c r="F815">
        <v>23842.63</v>
      </c>
      <c r="H815">
        <v>94804.98</v>
      </c>
      <c r="I815">
        <v>27968.82</v>
      </c>
      <c r="J815" t="s">
        <v>77</v>
      </c>
      <c r="K815">
        <v>8</v>
      </c>
      <c r="M815" t="s">
        <v>30</v>
      </c>
    </row>
    <row r="816" spans="1:14" x14ac:dyDescent="0.25">
      <c r="A816" t="s">
        <v>84</v>
      </c>
      <c r="B816" t="s">
        <v>85</v>
      </c>
      <c r="C816" t="s">
        <v>137</v>
      </c>
      <c r="D816" t="s">
        <v>447</v>
      </c>
      <c r="E816" t="s">
        <v>412</v>
      </c>
      <c r="F816">
        <v>10652.83</v>
      </c>
      <c r="H816">
        <v>50129.18</v>
      </c>
      <c r="I816">
        <v>15902.46</v>
      </c>
      <c r="J816" t="s">
        <v>53</v>
      </c>
      <c r="K816">
        <v>7</v>
      </c>
      <c r="M816" t="s">
        <v>177</v>
      </c>
    </row>
    <row r="817" spans="1:14" x14ac:dyDescent="0.25">
      <c r="A817" t="s">
        <v>87</v>
      </c>
      <c r="B817" t="s">
        <v>88</v>
      </c>
      <c r="C817" t="s">
        <v>116</v>
      </c>
      <c r="D817" t="s">
        <v>444</v>
      </c>
      <c r="E817" t="s">
        <v>419</v>
      </c>
      <c r="F817">
        <v>32272.84</v>
      </c>
      <c r="H817">
        <v>147852.34</v>
      </c>
      <c r="I817">
        <v>45523.23</v>
      </c>
      <c r="J817" t="s">
        <v>77</v>
      </c>
      <c r="K817">
        <v>2</v>
      </c>
      <c r="M817" t="s">
        <v>54</v>
      </c>
      <c r="N817" t="s">
        <v>101</v>
      </c>
    </row>
    <row r="818" spans="1:14" x14ac:dyDescent="0.25">
      <c r="A818" t="s">
        <v>90</v>
      </c>
      <c r="B818" t="s">
        <v>91</v>
      </c>
      <c r="C818" t="s">
        <v>80</v>
      </c>
      <c r="D818" t="s">
        <v>445</v>
      </c>
      <c r="E818" t="s">
        <v>414</v>
      </c>
      <c r="F818">
        <v>26044.51</v>
      </c>
      <c r="H818">
        <v>86913.19</v>
      </c>
      <c r="I818">
        <v>28269.08</v>
      </c>
      <c r="J818" t="s">
        <v>36</v>
      </c>
      <c r="K818">
        <v>2</v>
      </c>
      <c r="M818" t="s">
        <v>130</v>
      </c>
      <c r="N818" t="s">
        <v>115</v>
      </c>
    </row>
    <row r="819" spans="1:14" x14ac:dyDescent="0.25">
      <c r="A819" t="s">
        <v>93</v>
      </c>
      <c r="B819" t="s">
        <v>94</v>
      </c>
      <c r="C819" t="s">
        <v>89</v>
      </c>
      <c r="D819" t="s">
        <v>447</v>
      </c>
      <c r="E819" t="s">
        <v>414</v>
      </c>
      <c r="F819">
        <v>39062.699999999997</v>
      </c>
      <c r="H819">
        <v>190374.38</v>
      </c>
      <c r="I819">
        <v>54558.67</v>
      </c>
      <c r="J819" t="s">
        <v>104</v>
      </c>
      <c r="K819">
        <v>2</v>
      </c>
      <c r="M819" t="s">
        <v>58</v>
      </c>
      <c r="N819" t="s">
        <v>110</v>
      </c>
    </row>
    <row r="820" spans="1:14" x14ac:dyDescent="0.25">
      <c r="A820" t="s">
        <v>96</v>
      </c>
      <c r="B820" t="s">
        <v>97</v>
      </c>
      <c r="C820" t="s">
        <v>89</v>
      </c>
      <c r="D820" t="s">
        <v>449</v>
      </c>
      <c r="E820" t="s">
        <v>419</v>
      </c>
      <c r="F820">
        <v>27602.57</v>
      </c>
      <c r="H820">
        <v>97412.66</v>
      </c>
      <c r="I820">
        <v>19806.22</v>
      </c>
      <c r="J820" t="s">
        <v>77</v>
      </c>
      <c r="K820">
        <v>2</v>
      </c>
      <c r="M820" t="s">
        <v>30</v>
      </c>
      <c r="N820" t="s">
        <v>26</v>
      </c>
    </row>
    <row r="821" spans="1:14" x14ac:dyDescent="0.25">
      <c r="A821" t="s">
        <v>14</v>
      </c>
      <c r="B821" t="s">
        <v>15</v>
      </c>
      <c r="C821" t="s">
        <v>29</v>
      </c>
      <c r="D821" t="s">
        <v>450</v>
      </c>
      <c r="E821" t="s">
        <v>412</v>
      </c>
      <c r="F821">
        <v>116896.42</v>
      </c>
      <c r="H821">
        <v>445369.94</v>
      </c>
      <c r="I821">
        <v>85251.32</v>
      </c>
      <c r="J821" t="s">
        <v>25</v>
      </c>
      <c r="K821">
        <v>2</v>
      </c>
      <c r="M821" t="s">
        <v>20</v>
      </c>
      <c r="N821" t="s">
        <v>127</v>
      </c>
    </row>
    <row r="822" spans="1:14" x14ac:dyDescent="0.25">
      <c r="A822" t="s">
        <v>21</v>
      </c>
      <c r="B822" t="s">
        <v>22</v>
      </c>
      <c r="C822" t="s">
        <v>29</v>
      </c>
      <c r="D822" t="s">
        <v>451</v>
      </c>
      <c r="E822" t="s">
        <v>414</v>
      </c>
      <c r="F822">
        <v>163543.45000000001</v>
      </c>
      <c r="H822">
        <v>779954.23</v>
      </c>
      <c r="I822">
        <v>150812.79</v>
      </c>
      <c r="J822" t="s">
        <v>77</v>
      </c>
      <c r="K822">
        <v>2</v>
      </c>
      <c r="M822" t="s">
        <v>30</v>
      </c>
      <c r="N822" t="s">
        <v>95</v>
      </c>
    </row>
    <row r="823" spans="1:14" x14ac:dyDescent="0.25">
      <c r="A823" t="s">
        <v>27</v>
      </c>
      <c r="B823" t="s">
        <v>28</v>
      </c>
      <c r="C823" t="s">
        <v>46</v>
      </c>
      <c r="D823" t="s">
        <v>452</v>
      </c>
      <c r="E823" t="s">
        <v>414</v>
      </c>
      <c r="F823">
        <v>106654.21</v>
      </c>
      <c r="H823" t="s">
        <v>453</v>
      </c>
      <c r="I823">
        <v>117105.22</v>
      </c>
      <c r="J823" t="s">
        <v>25</v>
      </c>
      <c r="K823">
        <v>5</v>
      </c>
      <c r="M823" t="s">
        <v>58</v>
      </c>
      <c r="N823" t="s">
        <v>31</v>
      </c>
    </row>
    <row r="824" spans="1:14" x14ac:dyDescent="0.25">
      <c r="A824" t="s">
        <v>32</v>
      </c>
      <c r="B824" t="s">
        <v>33</v>
      </c>
      <c r="C824" t="s">
        <v>118</v>
      </c>
      <c r="D824" t="s">
        <v>454</v>
      </c>
      <c r="E824" t="s">
        <v>414</v>
      </c>
      <c r="F824">
        <v>87406.02</v>
      </c>
      <c r="H824" t="s">
        <v>455</v>
      </c>
      <c r="I824">
        <v>91050.63</v>
      </c>
      <c r="J824" t="s">
        <v>19</v>
      </c>
      <c r="K824">
        <v>5</v>
      </c>
      <c r="M824" t="s">
        <v>58</v>
      </c>
      <c r="N824" t="s">
        <v>26</v>
      </c>
    </row>
    <row r="825" spans="1:14" x14ac:dyDescent="0.25">
      <c r="A825" t="s">
        <v>39</v>
      </c>
      <c r="B825" t="s">
        <v>40</v>
      </c>
      <c r="C825" t="s">
        <v>29</v>
      </c>
      <c r="D825" t="s">
        <v>452</v>
      </c>
      <c r="E825" t="s">
        <v>419</v>
      </c>
      <c r="F825">
        <v>205197.27</v>
      </c>
      <c r="H825">
        <v>937404.13</v>
      </c>
      <c r="I825">
        <v>199550.39</v>
      </c>
      <c r="J825" t="s">
        <v>53</v>
      </c>
      <c r="K825">
        <v>5</v>
      </c>
      <c r="M825" t="s">
        <v>130</v>
      </c>
      <c r="N825" t="s">
        <v>105</v>
      </c>
    </row>
    <row r="826" spans="1:14" x14ac:dyDescent="0.25">
      <c r="A826" t="s">
        <v>44</v>
      </c>
      <c r="B826" t="s">
        <v>45</v>
      </c>
      <c r="C826" t="s">
        <v>29</v>
      </c>
      <c r="D826" t="s">
        <v>454</v>
      </c>
      <c r="E826" t="s">
        <v>414</v>
      </c>
      <c r="F826">
        <v>155510.39000000001</v>
      </c>
      <c r="H826">
        <v>718487.56</v>
      </c>
      <c r="I826">
        <v>212572.01</v>
      </c>
      <c r="J826" t="s">
        <v>25</v>
      </c>
      <c r="K826">
        <v>3</v>
      </c>
      <c r="M826" t="s">
        <v>42</v>
      </c>
      <c r="N826" t="s">
        <v>127</v>
      </c>
    </row>
    <row r="827" spans="1:14" x14ac:dyDescent="0.25">
      <c r="A827" t="s">
        <v>49</v>
      </c>
      <c r="B827" t="s">
        <v>50</v>
      </c>
      <c r="C827" t="s">
        <v>61</v>
      </c>
      <c r="D827" t="s">
        <v>450</v>
      </c>
      <c r="E827" t="s">
        <v>414</v>
      </c>
      <c r="F827">
        <v>50849.73</v>
      </c>
      <c r="H827">
        <v>178620.43</v>
      </c>
      <c r="I827">
        <v>36601.56</v>
      </c>
      <c r="J827" t="s">
        <v>41</v>
      </c>
      <c r="K827">
        <v>1</v>
      </c>
      <c r="M827" t="s">
        <v>30</v>
      </c>
      <c r="N827" t="s">
        <v>26</v>
      </c>
    </row>
    <row r="828" spans="1:14" x14ac:dyDescent="0.25">
      <c r="A828" t="s">
        <v>55</v>
      </c>
      <c r="B828" t="s">
        <v>56</v>
      </c>
      <c r="C828" t="s">
        <v>57</v>
      </c>
      <c r="D828" t="s">
        <v>450</v>
      </c>
      <c r="E828" t="s">
        <v>416</v>
      </c>
      <c r="F828">
        <v>70724.83</v>
      </c>
      <c r="H828">
        <v>179434.57</v>
      </c>
      <c r="I828">
        <v>62462.69</v>
      </c>
      <c r="J828" t="s">
        <v>36</v>
      </c>
      <c r="K828">
        <v>1</v>
      </c>
      <c r="M828" t="s">
        <v>20</v>
      </c>
    </row>
    <row r="829" spans="1:14" x14ac:dyDescent="0.25">
      <c r="A829" t="s">
        <v>59</v>
      </c>
      <c r="B829" t="s">
        <v>60</v>
      </c>
      <c r="C829" t="s">
        <v>51</v>
      </c>
      <c r="D829" t="s">
        <v>450</v>
      </c>
      <c r="E829" t="s">
        <v>414</v>
      </c>
      <c r="F829">
        <v>74850.98</v>
      </c>
      <c r="H829">
        <v>331696.65000000002</v>
      </c>
      <c r="I829">
        <v>83950.23</v>
      </c>
      <c r="J829" t="s">
        <v>19</v>
      </c>
      <c r="K829">
        <v>5</v>
      </c>
      <c r="M829" t="s">
        <v>54</v>
      </c>
      <c r="N829" t="s">
        <v>105</v>
      </c>
    </row>
    <row r="830" spans="1:14" x14ac:dyDescent="0.25">
      <c r="A830" t="s">
        <v>62</v>
      </c>
      <c r="B830" t="s">
        <v>63</v>
      </c>
      <c r="C830" t="s">
        <v>57</v>
      </c>
      <c r="D830" t="s">
        <v>452</v>
      </c>
      <c r="E830" t="s">
        <v>416</v>
      </c>
      <c r="F830">
        <v>62536.94</v>
      </c>
      <c r="H830">
        <v>249869.92</v>
      </c>
      <c r="I830">
        <v>66528.22</v>
      </c>
      <c r="J830" t="s">
        <v>25</v>
      </c>
      <c r="K830">
        <v>3</v>
      </c>
      <c r="M830" t="s">
        <v>42</v>
      </c>
    </row>
    <row r="831" spans="1:14" x14ac:dyDescent="0.25">
      <c r="A831" t="s">
        <v>66</v>
      </c>
      <c r="B831" t="s">
        <v>67</v>
      </c>
      <c r="C831" t="s">
        <v>61</v>
      </c>
      <c r="D831" t="s">
        <v>454</v>
      </c>
      <c r="E831" t="s">
        <v>414</v>
      </c>
      <c r="F831">
        <v>87745.8</v>
      </c>
      <c r="H831">
        <v>2272717</v>
      </c>
      <c r="I831">
        <v>44439.95</v>
      </c>
      <c r="J831" t="s">
        <v>36</v>
      </c>
      <c r="K831">
        <v>2</v>
      </c>
      <c r="M831" t="s">
        <v>54</v>
      </c>
      <c r="N831" t="s">
        <v>38</v>
      </c>
    </row>
    <row r="832" spans="1:14" x14ac:dyDescent="0.25">
      <c r="A832" t="s">
        <v>68</v>
      </c>
      <c r="B832" t="s">
        <v>69</v>
      </c>
      <c r="C832" t="s">
        <v>70</v>
      </c>
      <c r="D832" t="s">
        <v>451</v>
      </c>
      <c r="E832" t="s">
        <v>414</v>
      </c>
      <c r="F832">
        <v>87811.42</v>
      </c>
      <c r="H832">
        <v>357352.73</v>
      </c>
      <c r="I832">
        <v>94388.54</v>
      </c>
      <c r="J832" t="s">
        <v>77</v>
      </c>
      <c r="K832">
        <v>5</v>
      </c>
      <c r="M832" t="s">
        <v>54</v>
      </c>
      <c r="N832" t="s">
        <v>101</v>
      </c>
    </row>
    <row r="833" spans="1:14" x14ac:dyDescent="0.25">
      <c r="A833" t="s">
        <v>74</v>
      </c>
      <c r="B833" t="s">
        <v>75</v>
      </c>
      <c r="C833" t="s">
        <v>114</v>
      </c>
      <c r="D833" t="s">
        <v>450</v>
      </c>
      <c r="E833" t="s">
        <v>414</v>
      </c>
      <c r="F833">
        <v>74985.87</v>
      </c>
      <c r="H833">
        <v>287222.25</v>
      </c>
      <c r="I833">
        <v>51731.97</v>
      </c>
      <c r="J833" t="s">
        <v>25</v>
      </c>
      <c r="K833">
        <v>6</v>
      </c>
      <c r="M833" t="s">
        <v>58</v>
      </c>
      <c r="N833" t="s">
        <v>38</v>
      </c>
    </row>
    <row r="834" spans="1:14" x14ac:dyDescent="0.25">
      <c r="A834" t="s">
        <v>78</v>
      </c>
      <c r="B834" t="s">
        <v>79</v>
      </c>
      <c r="C834" t="s">
        <v>86</v>
      </c>
      <c r="D834" t="s">
        <v>456</v>
      </c>
      <c r="E834" t="s">
        <v>414</v>
      </c>
      <c r="F834">
        <v>16960.68</v>
      </c>
      <c r="H834">
        <v>44026.35</v>
      </c>
      <c r="I834">
        <v>9181.5300000000007</v>
      </c>
      <c r="J834" t="s">
        <v>36</v>
      </c>
      <c r="K834">
        <v>10</v>
      </c>
      <c r="M834" t="s">
        <v>42</v>
      </c>
    </row>
    <row r="835" spans="1:14" x14ac:dyDescent="0.25">
      <c r="A835" t="s">
        <v>82</v>
      </c>
      <c r="B835" t="s">
        <v>83</v>
      </c>
      <c r="C835" t="s">
        <v>80</v>
      </c>
      <c r="D835" t="s">
        <v>450</v>
      </c>
      <c r="E835" t="s">
        <v>414</v>
      </c>
      <c r="F835">
        <v>33140.230000000003</v>
      </c>
      <c r="H835">
        <v>130576.93</v>
      </c>
      <c r="I835">
        <v>32191.85</v>
      </c>
      <c r="J835" t="s">
        <v>77</v>
      </c>
      <c r="K835">
        <v>5</v>
      </c>
      <c r="M835" t="s">
        <v>58</v>
      </c>
      <c r="N835" t="s">
        <v>81</v>
      </c>
    </row>
    <row r="836" spans="1:14" x14ac:dyDescent="0.25">
      <c r="A836" t="s">
        <v>84</v>
      </c>
      <c r="B836" t="s">
        <v>85</v>
      </c>
      <c r="C836" t="s">
        <v>126</v>
      </c>
      <c r="D836" t="s">
        <v>457</v>
      </c>
      <c r="E836" t="s">
        <v>414</v>
      </c>
      <c r="F836">
        <v>33168.35</v>
      </c>
      <c r="H836">
        <v>161283.12</v>
      </c>
      <c r="I836">
        <v>55588.93</v>
      </c>
      <c r="J836" t="s">
        <v>77</v>
      </c>
      <c r="K836">
        <v>4</v>
      </c>
      <c r="M836" t="s">
        <v>54</v>
      </c>
      <c r="N836" t="s">
        <v>127</v>
      </c>
    </row>
    <row r="837" spans="1:14" x14ac:dyDescent="0.25">
      <c r="A837" t="s">
        <v>87</v>
      </c>
      <c r="B837" t="s">
        <v>88</v>
      </c>
      <c r="C837" t="s">
        <v>86</v>
      </c>
      <c r="D837" t="s">
        <v>450</v>
      </c>
      <c r="E837" t="s">
        <v>414</v>
      </c>
      <c r="F837">
        <v>18562.919999999998</v>
      </c>
      <c r="H837">
        <v>90569.81</v>
      </c>
      <c r="I837">
        <v>20349.62</v>
      </c>
      <c r="J837" t="s">
        <v>104</v>
      </c>
      <c r="K837">
        <v>8</v>
      </c>
      <c r="M837" t="s">
        <v>64</v>
      </c>
      <c r="N837" t="s">
        <v>101</v>
      </c>
    </row>
    <row r="838" spans="1:14" x14ac:dyDescent="0.25">
      <c r="A838" t="s">
        <v>90</v>
      </c>
      <c r="B838" t="s">
        <v>91</v>
      </c>
      <c r="C838" t="s">
        <v>116</v>
      </c>
      <c r="D838" t="s">
        <v>450</v>
      </c>
      <c r="E838" t="s">
        <v>414</v>
      </c>
      <c r="F838">
        <v>24825.87</v>
      </c>
      <c r="H838">
        <v>117542.24</v>
      </c>
      <c r="I838">
        <v>22646.47</v>
      </c>
      <c r="J838" t="s">
        <v>104</v>
      </c>
      <c r="K838">
        <v>3</v>
      </c>
      <c r="M838" t="s">
        <v>64</v>
      </c>
      <c r="N838" t="s">
        <v>26</v>
      </c>
    </row>
    <row r="839" spans="1:14" x14ac:dyDescent="0.25">
      <c r="A839" t="s">
        <v>93</v>
      </c>
      <c r="B839" t="s">
        <v>94</v>
      </c>
      <c r="C839" t="s">
        <v>116</v>
      </c>
      <c r="D839" t="s">
        <v>454</v>
      </c>
      <c r="E839" t="s">
        <v>416</v>
      </c>
      <c r="F839">
        <v>18222.3</v>
      </c>
      <c r="H839">
        <v>60441.9</v>
      </c>
      <c r="I839">
        <v>11981.26</v>
      </c>
      <c r="J839" t="s">
        <v>104</v>
      </c>
      <c r="K839">
        <v>4</v>
      </c>
      <c r="M839" t="s">
        <v>58</v>
      </c>
    </row>
    <row r="840" spans="1:14" x14ac:dyDescent="0.25">
      <c r="A840" t="s">
        <v>96</v>
      </c>
      <c r="B840" t="s">
        <v>97</v>
      </c>
      <c r="C840" t="s">
        <v>126</v>
      </c>
      <c r="D840" t="s">
        <v>454</v>
      </c>
      <c r="E840" t="s">
        <v>414</v>
      </c>
      <c r="F840">
        <v>30858.34</v>
      </c>
      <c r="H840">
        <v>126774.69</v>
      </c>
      <c r="I840">
        <v>43301.89</v>
      </c>
      <c r="J840" t="s">
        <v>77</v>
      </c>
      <c r="K840">
        <v>3</v>
      </c>
      <c r="M840" t="s">
        <v>42</v>
      </c>
      <c r="N840" t="s">
        <v>115</v>
      </c>
    </row>
    <row r="841" spans="1:14" x14ac:dyDescent="0.25">
      <c r="A841" t="s">
        <v>14</v>
      </c>
      <c r="B841" t="s">
        <v>15</v>
      </c>
      <c r="C841" t="s">
        <v>118</v>
      </c>
      <c r="D841" t="s">
        <v>458</v>
      </c>
      <c r="E841" t="s">
        <v>412</v>
      </c>
      <c r="F841">
        <v>196887.7</v>
      </c>
      <c r="H841">
        <v>495530.18</v>
      </c>
      <c r="I841">
        <v>108992.7</v>
      </c>
      <c r="J841" t="s">
        <v>36</v>
      </c>
      <c r="K841">
        <v>5</v>
      </c>
      <c r="M841" t="s">
        <v>42</v>
      </c>
    </row>
    <row r="842" spans="1:14" x14ac:dyDescent="0.25">
      <c r="A842" t="s">
        <v>21</v>
      </c>
      <c r="B842" t="s">
        <v>22</v>
      </c>
      <c r="C842" t="s">
        <v>111</v>
      </c>
      <c r="D842" t="s">
        <v>459</v>
      </c>
      <c r="E842" t="s">
        <v>419</v>
      </c>
      <c r="F842">
        <v>144294.53</v>
      </c>
      <c r="H842">
        <v>421192.09</v>
      </c>
      <c r="I842">
        <v>100008.43</v>
      </c>
      <c r="J842" t="s">
        <v>77</v>
      </c>
      <c r="K842">
        <v>3</v>
      </c>
      <c r="M842" t="s">
        <v>37</v>
      </c>
      <c r="N842" t="s">
        <v>73</v>
      </c>
    </row>
    <row r="843" spans="1:14" x14ac:dyDescent="0.25">
      <c r="A843" t="s">
        <v>27</v>
      </c>
      <c r="B843" t="s">
        <v>28</v>
      </c>
      <c r="C843" t="s">
        <v>29</v>
      </c>
      <c r="D843" t="s">
        <v>458</v>
      </c>
      <c r="E843" t="s">
        <v>414</v>
      </c>
      <c r="F843">
        <v>98045.56</v>
      </c>
      <c r="H843">
        <v>468286.85</v>
      </c>
      <c r="I843">
        <v>148967.22</v>
      </c>
      <c r="J843" t="s">
        <v>41</v>
      </c>
      <c r="K843">
        <v>4</v>
      </c>
      <c r="M843" t="s">
        <v>112</v>
      </c>
      <c r="N843" t="s">
        <v>26</v>
      </c>
    </row>
    <row r="844" spans="1:14" x14ac:dyDescent="0.25">
      <c r="A844" t="s">
        <v>32</v>
      </c>
      <c r="B844" t="s">
        <v>33</v>
      </c>
      <c r="C844" t="s">
        <v>111</v>
      </c>
      <c r="D844" t="s">
        <v>459</v>
      </c>
      <c r="E844" t="s">
        <v>414</v>
      </c>
      <c r="F844">
        <v>98357.91</v>
      </c>
      <c r="H844">
        <v>463040.51</v>
      </c>
      <c r="I844">
        <v>146266.65</v>
      </c>
      <c r="J844" t="s">
        <v>19</v>
      </c>
      <c r="K844">
        <v>3</v>
      </c>
      <c r="M844" t="s">
        <v>30</v>
      </c>
      <c r="N844" t="s">
        <v>127</v>
      </c>
    </row>
    <row r="845" spans="1:14" x14ac:dyDescent="0.25">
      <c r="A845" t="s">
        <v>39</v>
      </c>
      <c r="B845" t="s">
        <v>40</v>
      </c>
      <c r="C845" t="s">
        <v>34</v>
      </c>
      <c r="D845" t="s">
        <v>460</v>
      </c>
      <c r="E845" t="s">
        <v>414</v>
      </c>
      <c r="F845">
        <v>119810.82</v>
      </c>
      <c r="H845">
        <v>484307.84</v>
      </c>
      <c r="I845">
        <v>138218.35</v>
      </c>
      <c r="J845" t="s">
        <v>25</v>
      </c>
      <c r="K845">
        <v>6</v>
      </c>
      <c r="M845" t="s">
        <v>20</v>
      </c>
      <c r="N845" t="s">
        <v>43</v>
      </c>
    </row>
    <row r="846" spans="1:14" x14ac:dyDescent="0.25">
      <c r="A846" t="s">
        <v>44</v>
      </c>
      <c r="B846" t="s">
        <v>45</v>
      </c>
      <c r="C846" t="s">
        <v>46</v>
      </c>
      <c r="D846" t="s">
        <v>460</v>
      </c>
      <c r="E846" t="s">
        <v>423</v>
      </c>
      <c r="F846">
        <v>98163.12</v>
      </c>
      <c r="H846">
        <v>487082.93</v>
      </c>
      <c r="I846">
        <v>163791.85999999999</v>
      </c>
      <c r="J846" t="s">
        <v>53</v>
      </c>
      <c r="K846">
        <v>3</v>
      </c>
      <c r="M846" t="s">
        <v>30</v>
      </c>
      <c r="N846" t="s">
        <v>26</v>
      </c>
    </row>
    <row r="847" spans="1:14" x14ac:dyDescent="0.25">
      <c r="A847" t="s">
        <v>49</v>
      </c>
      <c r="B847" t="s">
        <v>50</v>
      </c>
      <c r="C847" t="s">
        <v>61</v>
      </c>
      <c r="D847" t="s">
        <v>458</v>
      </c>
      <c r="E847" t="s">
        <v>414</v>
      </c>
      <c r="F847">
        <v>48832.36</v>
      </c>
      <c r="H847">
        <v>9652.17</v>
      </c>
      <c r="I847">
        <v>3190.35</v>
      </c>
      <c r="J847" t="s">
        <v>25</v>
      </c>
      <c r="K847">
        <v>5</v>
      </c>
      <c r="M847" t="s">
        <v>42</v>
      </c>
    </row>
    <row r="848" spans="1:14" x14ac:dyDescent="0.25">
      <c r="A848" t="s">
        <v>55</v>
      </c>
      <c r="B848" t="s">
        <v>56</v>
      </c>
      <c r="C848" t="s">
        <v>57</v>
      </c>
      <c r="D848" t="s">
        <v>461</v>
      </c>
      <c r="E848" t="s">
        <v>414</v>
      </c>
      <c r="F848">
        <v>69909.440000000002</v>
      </c>
      <c r="H848">
        <v>206349.1</v>
      </c>
      <c r="I848">
        <v>53428.83</v>
      </c>
      <c r="J848" t="s">
        <v>77</v>
      </c>
      <c r="K848">
        <v>3</v>
      </c>
      <c r="M848" t="s">
        <v>42</v>
      </c>
      <c r="N848" t="s">
        <v>26</v>
      </c>
    </row>
    <row r="849" spans="1:14" x14ac:dyDescent="0.25">
      <c r="A849" t="s">
        <v>59</v>
      </c>
      <c r="B849" t="s">
        <v>60</v>
      </c>
      <c r="C849" t="s">
        <v>51</v>
      </c>
      <c r="D849" t="s">
        <v>462</v>
      </c>
      <c r="E849" t="s">
        <v>414</v>
      </c>
      <c r="F849">
        <v>102961.65</v>
      </c>
      <c r="H849">
        <v>399954.48</v>
      </c>
      <c r="I849">
        <v>98678.47</v>
      </c>
      <c r="J849" t="s">
        <v>41</v>
      </c>
      <c r="K849">
        <v>5</v>
      </c>
      <c r="M849" t="s">
        <v>20</v>
      </c>
    </row>
    <row r="850" spans="1:14" x14ac:dyDescent="0.25">
      <c r="A850" t="s">
        <v>62</v>
      </c>
      <c r="B850" t="s">
        <v>63</v>
      </c>
      <c r="C850" t="s">
        <v>70</v>
      </c>
      <c r="D850" t="s">
        <v>463</v>
      </c>
      <c r="E850" t="s">
        <v>414</v>
      </c>
      <c r="F850">
        <v>87997.21</v>
      </c>
      <c r="H850">
        <v>423725.75</v>
      </c>
      <c r="I850">
        <v>88699.55</v>
      </c>
      <c r="J850" t="s">
        <v>19</v>
      </c>
      <c r="K850">
        <v>5</v>
      </c>
      <c r="M850" t="s">
        <v>64</v>
      </c>
      <c r="N850" t="s">
        <v>73</v>
      </c>
    </row>
    <row r="851" spans="1:14" x14ac:dyDescent="0.25">
      <c r="A851" t="s">
        <v>66</v>
      </c>
      <c r="B851" t="s">
        <v>67</v>
      </c>
      <c r="C851" t="s">
        <v>70</v>
      </c>
      <c r="D851" t="s">
        <v>459</v>
      </c>
      <c r="E851" t="s">
        <v>414</v>
      </c>
      <c r="F851">
        <v>63039.54</v>
      </c>
      <c r="H851">
        <v>183849.1</v>
      </c>
      <c r="I851">
        <v>55048.09</v>
      </c>
      <c r="J851" t="s">
        <v>19</v>
      </c>
      <c r="K851">
        <v>2</v>
      </c>
      <c r="M851" t="s">
        <v>54</v>
      </c>
    </row>
    <row r="852" spans="1:14" x14ac:dyDescent="0.25">
      <c r="A852" t="s">
        <v>68</v>
      </c>
      <c r="B852" t="s">
        <v>69</v>
      </c>
      <c r="C852" t="s">
        <v>61</v>
      </c>
      <c r="D852" t="s">
        <v>458</v>
      </c>
      <c r="E852" t="s">
        <v>414</v>
      </c>
      <c r="F852">
        <v>78494.509999999995</v>
      </c>
      <c r="H852">
        <v>381070.9</v>
      </c>
      <c r="I852">
        <v>85503.33</v>
      </c>
      <c r="J852" t="s">
        <v>41</v>
      </c>
      <c r="K852">
        <v>3</v>
      </c>
      <c r="M852" t="s">
        <v>177</v>
      </c>
    </row>
    <row r="853" spans="1:14" x14ac:dyDescent="0.25">
      <c r="A853" t="s">
        <v>74</v>
      </c>
      <c r="B853" t="s">
        <v>75</v>
      </c>
      <c r="C853" t="s">
        <v>51</v>
      </c>
      <c r="D853" t="s">
        <v>460</v>
      </c>
      <c r="E853" t="s">
        <v>414</v>
      </c>
      <c r="F853">
        <v>34192.949999999997</v>
      </c>
      <c r="H853">
        <v>106552.87</v>
      </c>
      <c r="I853">
        <v>27666.12</v>
      </c>
      <c r="J853" t="s">
        <v>77</v>
      </c>
      <c r="K853">
        <v>5</v>
      </c>
      <c r="M853" t="s">
        <v>37</v>
      </c>
      <c r="N853" t="s">
        <v>105</v>
      </c>
    </row>
    <row r="854" spans="1:14" x14ac:dyDescent="0.25">
      <c r="A854" t="s">
        <v>78</v>
      </c>
      <c r="B854" t="s">
        <v>79</v>
      </c>
      <c r="C854" t="s">
        <v>137</v>
      </c>
      <c r="D854" t="s">
        <v>458</v>
      </c>
      <c r="E854" t="s">
        <v>414</v>
      </c>
      <c r="F854">
        <v>8758.1200000000008</v>
      </c>
      <c r="H854">
        <v>43179.38</v>
      </c>
      <c r="I854">
        <v>10446.48</v>
      </c>
      <c r="J854" t="s">
        <v>77</v>
      </c>
      <c r="K854">
        <v>2</v>
      </c>
      <c r="M854" t="s">
        <v>58</v>
      </c>
    </row>
    <row r="855" spans="1:14" x14ac:dyDescent="0.25">
      <c r="A855" t="s">
        <v>82</v>
      </c>
      <c r="B855" t="s">
        <v>83</v>
      </c>
      <c r="C855" t="s">
        <v>116</v>
      </c>
      <c r="D855" t="s">
        <v>458</v>
      </c>
      <c r="E855" t="s">
        <v>414</v>
      </c>
      <c r="F855">
        <v>30861.08</v>
      </c>
      <c r="H855">
        <v>131541.74</v>
      </c>
      <c r="I855">
        <v>35179.11</v>
      </c>
      <c r="J855" t="s">
        <v>19</v>
      </c>
      <c r="K855">
        <v>4</v>
      </c>
      <c r="M855" t="s">
        <v>54</v>
      </c>
      <c r="N855" t="s">
        <v>26</v>
      </c>
    </row>
    <row r="856" spans="1:14" x14ac:dyDescent="0.25">
      <c r="A856" t="s">
        <v>84</v>
      </c>
      <c r="B856" t="s">
        <v>85</v>
      </c>
      <c r="C856" t="s">
        <v>89</v>
      </c>
      <c r="D856" t="s">
        <v>458</v>
      </c>
      <c r="E856" t="s">
        <v>414</v>
      </c>
      <c r="F856">
        <v>31090.01</v>
      </c>
      <c r="H856">
        <v>86234.43</v>
      </c>
      <c r="I856">
        <v>27765.87</v>
      </c>
      <c r="J856" t="s">
        <v>77</v>
      </c>
      <c r="K856">
        <v>4</v>
      </c>
      <c r="M856" t="s">
        <v>177</v>
      </c>
      <c r="N856" t="s">
        <v>95</v>
      </c>
    </row>
    <row r="857" spans="1:14" x14ac:dyDescent="0.25">
      <c r="A857" t="s">
        <v>87</v>
      </c>
      <c r="B857" t="s">
        <v>88</v>
      </c>
      <c r="C857" t="s">
        <v>137</v>
      </c>
      <c r="D857" t="s">
        <v>463</v>
      </c>
      <c r="E857" t="s">
        <v>414</v>
      </c>
      <c r="F857">
        <v>10496.83</v>
      </c>
      <c r="H857">
        <v>33515.949999999997</v>
      </c>
      <c r="I857">
        <v>8946.57</v>
      </c>
      <c r="J857" t="s">
        <v>41</v>
      </c>
      <c r="K857">
        <v>2</v>
      </c>
      <c r="M857" t="s">
        <v>58</v>
      </c>
      <c r="N857" t="s">
        <v>38</v>
      </c>
    </row>
    <row r="858" spans="1:14" x14ac:dyDescent="0.25">
      <c r="A858" t="s">
        <v>93</v>
      </c>
      <c r="B858" t="s">
        <v>94</v>
      </c>
      <c r="C858" t="s">
        <v>80</v>
      </c>
      <c r="D858" t="s">
        <v>458</v>
      </c>
      <c r="E858" t="s">
        <v>414</v>
      </c>
      <c r="F858">
        <v>15870.59</v>
      </c>
      <c r="H858">
        <v>67465.97</v>
      </c>
      <c r="I858">
        <v>17494.87</v>
      </c>
      <c r="J858" t="s">
        <v>77</v>
      </c>
      <c r="K858">
        <v>12</v>
      </c>
      <c r="M858" t="s">
        <v>30</v>
      </c>
      <c r="N858" t="s">
        <v>115</v>
      </c>
    </row>
    <row r="859" spans="1:14" x14ac:dyDescent="0.25">
      <c r="A859" t="s">
        <v>96</v>
      </c>
      <c r="B859" t="s">
        <v>97</v>
      </c>
      <c r="C859" t="s">
        <v>89</v>
      </c>
      <c r="D859" t="s">
        <v>460</v>
      </c>
      <c r="E859" t="s">
        <v>414</v>
      </c>
      <c r="F859">
        <v>27520.98</v>
      </c>
      <c r="H859">
        <v>132481.24</v>
      </c>
      <c r="I859">
        <v>44846.01</v>
      </c>
      <c r="J859" t="s">
        <v>19</v>
      </c>
      <c r="K859">
        <v>5</v>
      </c>
      <c r="M859" t="s">
        <v>37</v>
      </c>
      <c r="N859" t="s">
        <v>125</v>
      </c>
    </row>
    <row r="860" spans="1:14" x14ac:dyDescent="0.25">
      <c r="A860" t="s">
        <v>14</v>
      </c>
      <c r="B860" t="s">
        <v>15</v>
      </c>
      <c r="C860" t="s">
        <v>111</v>
      </c>
      <c r="D860" t="s">
        <v>464</v>
      </c>
      <c r="E860" t="s">
        <v>419</v>
      </c>
      <c r="F860">
        <v>202762.15</v>
      </c>
      <c r="H860">
        <v>9005952</v>
      </c>
      <c r="I860">
        <v>279130.83</v>
      </c>
      <c r="J860" t="s">
        <v>41</v>
      </c>
      <c r="K860">
        <v>3</v>
      </c>
      <c r="M860" t="s">
        <v>30</v>
      </c>
      <c r="N860" t="s">
        <v>43</v>
      </c>
    </row>
    <row r="861" spans="1:14" x14ac:dyDescent="0.25">
      <c r="A861" t="s">
        <v>21</v>
      </c>
      <c r="B861" t="s">
        <v>22</v>
      </c>
      <c r="C861" t="s">
        <v>34</v>
      </c>
      <c r="D861" t="s">
        <v>464</v>
      </c>
      <c r="E861" t="s">
        <v>423</v>
      </c>
      <c r="F861">
        <v>95150.06</v>
      </c>
      <c r="H861">
        <v>439325.22</v>
      </c>
      <c r="I861">
        <v>105216.55</v>
      </c>
      <c r="J861" t="s">
        <v>77</v>
      </c>
      <c r="K861">
        <v>4</v>
      </c>
      <c r="M861" t="s">
        <v>30</v>
      </c>
    </row>
    <row r="862" spans="1:14" x14ac:dyDescent="0.25">
      <c r="A862" t="s">
        <v>27</v>
      </c>
      <c r="B862" t="s">
        <v>28</v>
      </c>
      <c r="C862" t="s">
        <v>111</v>
      </c>
      <c r="D862" t="s">
        <v>465</v>
      </c>
      <c r="E862" t="s">
        <v>414</v>
      </c>
      <c r="F862">
        <v>188690.82</v>
      </c>
      <c r="H862" t="s">
        <v>466</v>
      </c>
      <c r="I862">
        <v>145676.26</v>
      </c>
      <c r="J862" t="s">
        <v>19</v>
      </c>
      <c r="K862">
        <v>3</v>
      </c>
      <c r="M862" t="s">
        <v>54</v>
      </c>
      <c r="N862" t="s">
        <v>43</v>
      </c>
    </row>
    <row r="863" spans="1:14" x14ac:dyDescent="0.25">
      <c r="A863" t="s">
        <v>39</v>
      </c>
      <c r="B863" t="s">
        <v>40</v>
      </c>
      <c r="C863" t="s">
        <v>46</v>
      </c>
      <c r="D863" t="s">
        <v>464</v>
      </c>
      <c r="E863" t="s">
        <v>414</v>
      </c>
      <c r="F863">
        <v>210225.93</v>
      </c>
      <c r="H863">
        <v>715726.05</v>
      </c>
      <c r="I863">
        <v>156913.74</v>
      </c>
      <c r="J863" t="s">
        <v>25</v>
      </c>
      <c r="K863">
        <v>4</v>
      </c>
      <c r="M863" t="s">
        <v>58</v>
      </c>
      <c r="N863" t="s">
        <v>105</v>
      </c>
    </row>
    <row r="864" spans="1:14" x14ac:dyDescent="0.25">
      <c r="A864" t="s">
        <v>44</v>
      </c>
      <c r="B864" t="s">
        <v>45</v>
      </c>
      <c r="C864" t="s">
        <v>29</v>
      </c>
      <c r="D864" t="s">
        <v>467</v>
      </c>
      <c r="E864" t="s">
        <v>414</v>
      </c>
      <c r="F864">
        <v>2060401</v>
      </c>
      <c r="H864">
        <v>974528.79</v>
      </c>
      <c r="I864">
        <v>228335.97</v>
      </c>
      <c r="J864" t="s">
        <v>53</v>
      </c>
      <c r="K864">
        <v>2</v>
      </c>
      <c r="M864" t="s">
        <v>30</v>
      </c>
      <c r="N864" t="s">
        <v>110</v>
      </c>
    </row>
    <row r="865" spans="1:14" x14ac:dyDescent="0.25">
      <c r="A865" t="s">
        <v>49</v>
      </c>
      <c r="B865" t="s">
        <v>50</v>
      </c>
      <c r="C865" t="s">
        <v>114</v>
      </c>
      <c r="D865" t="s">
        <v>468</v>
      </c>
      <c r="E865" t="s">
        <v>423</v>
      </c>
      <c r="F865">
        <v>66323.740000000005</v>
      </c>
      <c r="H865">
        <v>278073.62</v>
      </c>
      <c r="I865">
        <v>67637.2</v>
      </c>
      <c r="J865" t="s">
        <v>77</v>
      </c>
      <c r="K865">
        <v>4</v>
      </c>
      <c r="M865" t="s">
        <v>58</v>
      </c>
      <c r="N865" t="s">
        <v>115</v>
      </c>
    </row>
    <row r="866" spans="1:14" x14ac:dyDescent="0.25">
      <c r="A866" t="s">
        <v>55</v>
      </c>
      <c r="B866" t="s">
        <v>56</v>
      </c>
      <c r="C866" t="s">
        <v>61</v>
      </c>
      <c r="D866" t="s">
        <v>467</v>
      </c>
      <c r="E866" t="s">
        <v>414</v>
      </c>
      <c r="F866">
        <v>77835.539999999994</v>
      </c>
      <c r="H866" t="s">
        <v>469</v>
      </c>
      <c r="I866">
        <v>5690.54</v>
      </c>
      <c r="J866" t="s">
        <v>77</v>
      </c>
      <c r="K866">
        <v>5</v>
      </c>
      <c r="M866" t="s">
        <v>20</v>
      </c>
      <c r="N866" t="s">
        <v>127</v>
      </c>
    </row>
    <row r="867" spans="1:14" x14ac:dyDescent="0.25">
      <c r="A867" t="s">
        <v>59</v>
      </c>
      <c r="B867" t="s">
        <v>60</v>
      </c>
      <c r="C867" t="s">
        <v>51</v>
      </c>
      <c r="D867" t="s">
        <v>465</v>
      </c>
      <c r="E867" t="s">
        <v>414</v>
      </c>
      <c r="F867">
        <v>92315.23</v>
      </c>
      <c r="H867">
        <v>396907.62</v>
      </c>
      <c r="I867">
        <v>118965.77</v>
      </c>
      <c r="J867" t="s">
        <v>104</v>
      </c>
      <c r="K867">
        <v>4</v>
      </c>
      <c r="M867" t="s">
        <v>54</v>
      </c>
      <c r="N867" t="s">
        <v>73</v>
      </c>
    </row>
    <row r="868" spans="1:14" x14ac:dyDescent="0.25">
      <c r="A868" t="s">
        <v>62</v>
      </c>
      <c r="B868" t="s">
        <v>63</v>
      </c>
      <c r="C868" t="s">
        <v>57</v>
      </c>
      <c r="D868" t="s">
        <v>465</v>
      </c>
      <c r="E868" t="s">
        <v>414</v>
      </c>
      <c r="F868">
        <v>61841.65</v>
      </c>
      <c r="H868">
        <v>201021.93</v>
      </c>
      <c r="I868">
        <v>42163.69</v>
      </c>
      <c r="J868" t="s">
        <v>25</v>
      </c>
      <c r="K868">
        <v>6</v>
      </c>
      <c r="M868" t="s">
        <v>30</v>
      </c>
    </row>
    <row r="869" spans="1:14" x14ac:dyDescent="0.25">
      <c r="A869" t="s">
        <v>66</v>
      </c>
      <c r="B869" t="s">
        <v>67</v>
      </c>
      <c r="C869" t="s">
        <v>61</v>
      </c>
      <c r="D869" t="s">
        <v>467</v>
      </c>
      <c r="E869" t="s">
        <v>419</v>
      </c>
      <c r="F869">
        <v>31781.040000000001</v>
      </c>
      <c r="H869">
        <v>79886.95</v>
      </c>
      <c r="I869">
        <v>23493.040000000001</v>
      </c>
      <c r="J869" t="s">
        <v>41</v>
      </c>
      <c r="K869">
        <v>2</v>
      </c>
      <c r="M869" t="s">
        <v>58</v>
      </c>
      <c r="N869" t="s">
        <v>43</v>
      </c>
    </row>
    <row r="870" spans="1:14" x14ac:dyDescent="0.25">
      <c r="A870" t="s">
        <v>68</v>
      </c>
      <c r="B870" t="s">
        <v>69</v>
      </c>
      <c r="C870" t="s">
        <v>57</v>
      </c>
      <c r="D870" t="s">
        <v>464</v>
      </c>
      <c r="E870" t="s">
        <v>414</v>
      </c>
      <c r="F870">
        <v>58500.2</v>
      </c>
      <c r="H870">
        <v>289550.09000000003</v>
      </c>
      <c r="I870">
        <v>73066.75</v>
      </c>
      <c r="J870" t="s">
        <v>36</v>
      </c>
      <c r="K870">
        <v>3</v>
      </c>
      <c r="M870" t="s">
        <v>37</v>
      </c>
      <c r="N870" t="s">
        <v>115</v>
      </c>
    </row>
    <row r="871" spans="1:14" x14ac:dyDescent="0.25">
      <c r="A871" t="s">
        <v>78</v>
      </c>
      <c r="B871" t="s">
        <v>79</v>
      </c>
      <c r="C871" t="s">
        <v>137</v>
      </c>
      <c r="D871" t="s">
        <v>470</v>
      </c>
      <c r="E871" t="s">
        <v>414</v>
      </c>
      <c r="F871">
        <v>23810.240000000002</v>
      </c>
      <c r="H871">
        <v>115567.58</v>
      </c>
      <c r="I871">
        <v>34847.49</v>
      </c>
      <c r="J871" t="s">
        <v>77</v>
      </c>
      <c r="K871">
        <v>12</v>
      </c>
      <c r="M871" t="s">
        <v>54</v>
      </c>
    </row>
    <row r="872" spans="1:14" x14ac:dyDescent="0.25">
      <c r="A872" t="s">
        <v>82</v>
      </c>
      <c r="B872" t="s">
        <v>83</v>
      </c>
      <c r="C872" t="s">
        <v>126</v>
      </c>
      <c r="D872" t="s">
        <v>468</v>
      </c>
      <c r="E872" t="s">
        <v>414</v>
      </c>
      <c r="F872">
        <v>41229.64</v>
      </c>
      <c r="H872">
        <v>198856.86</v>
      </c>
      <c r="I872">
        <v>56284.160000000003</v>
      </c>
      <c r="J872" t="s">
        <v>36</v>
      </c>
      <c r="K872">
        <v>9</v>
      </c>
      <c r="M872" t="s">
        <v>30</v>
      </c>
      <c r="N872" t="s">
        <v>127</v>
      </c>
    </row>
    <row r="873" spans="1:14" x14ac:dyDescent="0.25">
      <c r="A873" t="s">
        <v>84</v>
      </c>
      <c r="B873" t="s">
        <v>85</v>
      </c>
      <c r="C873" t="s">
        <v>126</v>
      </c>
      <c r="D873" t="s">
        <v>464</v>
      </c>
      <c r="E873" t="s">
        <v>419</v>
      </c>
      <c r="F873">
        <v>18314.11</v>
      </c>
      <c r="H873">
        <v>55687.87</v>
      </c>
      <c r="I873">
        <v>10488.68</v>
      </c>
      <c r="J873" t="s">
        <v>77</v>
      </c>
      <c r="K873">
        <v>9</v>
      </c>
      <c r="M873" t="s">
        <v>92</v>
      </c>
      <c r="N873" t="s">
        <v>73</v>
      </c>
    </row>
    <row r="874" spans="1:14" x14ac:dyDescent="0.25">
      <c r="A874" t="s">
        <v>87</v>
      </c>
      <c r="B874" t="s">
        <v>88</v>
      </c>
      <c r="C874" t="s">
        <v>89</v>
      </c>
      <c r="D874" t="s">
        <v>464</v>
      </c>
      <c r="E874" t="s">
        <v>414</v>
      </c>
      <c r="F874">
        <v>32623.18</v>
      </c>
      <c r="H874">
        <v>6273.35</v>
      </c>
      <c r="I874">
        <v>2100.83</v>
      </c>
      <c r="J874" t="s">
        <v>41</v>
      </c>
      <c r="K874">
        <v>4</v>
      </c>
      <c r="M874" t="s">
        <v>177</v>
      </c>
      <c r="N874" t="s">
        <v>127</v>
      </c>
    </row>
    <row r="875" spans="1:14" x14ac:dyDescent="0.25">
      <c r="A875" t="s">
        <v>90</v>
      </c>
      <c r="B875" t="s">
        <v>91</v>
      </c>
      <c r="C875" t="s">
        <v>137</v>
      </c>
      <c r="D875" t="s">
        <v>471</v>
      </c>
      <c r="E875" t="s">
        <v>414</v>
      </c>
      <c r="F875">
        <v>9482.91</v>
      </c>
      <c r="H875">
        <v>1997.57</v>
      </c>
      <c r="I875">
        <v>572.75</v>
      </c>
      <c r="J875" t="s">
        <v>53</v>
      </c>
      <c r="K875">
        <v>3</v>
      </c>
      <c r="M875" t="s">
        <v>54</v>
      </c>
    </row>
    <row r="876" spans="1:14" x14ac:dyDescent="0.25">
      <c r="A876" t="s">
        <v>93</v>
      </c>
      <c r="B876" t="s">
        <v>94</v>
      </c>
      <c r="C876" t="s">
        <v>137</v>
      </c>
      <c r="D876" t="s">
        <v>464</v>
      </c>
      <c r="E876" t="s">
        <v>419</v>
      </c>
      <c r="F876">
        <v>16713.02</v>
      </c>
      <c r="H876">
        <v>72323.77</v>
      </c>
      <c r="I876">
        <v>20714.490000000002</v>
      </c>
      <c r="J876" t="s">
        <v>25</v>
      </c>
      <c r="K876">
        <v>6</v>
      </c>
      <c r="M876" t="s">
        <v>64</v>
      </c>
      <c r="N876" t="s">
        <v>95</v>
      </c>
    </row>
    <row r="877" spans="1:14" x14ac:dyDescent="0.25">
      <c r="A877" t="s">
        <v>96</v>
      </c>
      <c r="B877" t="s">
        <v>97</v>
      </c>
      <c r="C877" t="s">
        <v>137</v>
      </c>
      <c r="D877" t="s">
        <v>467</v>
      </c>
      <c r="E877" t="s">
        <v>414</v>
      </c>
      <c r="F877">
        <v>27911.03</v>
      </c>
      <c r="H877">
        <v>138358.89000000001</v>
      </c>
      <c r="I877">
        <v>33696.74</v>
      </c>
      <c r="J877" t="s">
        <v>41</v>
      </c>
      <c r="K877">
        <v>2</v>
      </c>
      <c r="M877" t="s">
        <v>30</v>
      </c>
      <c r="N877" t="s">
        <v>101</v>
      </c>
    </row>
    <row r="878" spans="1:14" x14ac:dyDescent="0.25">
      <c r="A878" t="s">
        <v>14</v>
      </c>
      <c r="B878" t="s">
        <v>15</v>
      </c>
      <c r="C878" t="s">
        <v>34</v>
      </c>
      <c r="D878" t="s">
        <v>472</v>
      </c>
      <c r="E878" t="s">
        <v>416</v>
      </c>
      <c r="F878">
        <v>91917.92</v>
      </c>
      <c r="H878">
        <v>250821.89</v>
      </c>
      <c r="I878">
        <v>48731.06</v>
      </c>
      <c r="J878" t="s">
        <v>53</v>
      </c>
      <c r="K878">
        <v>2</v>
      </c>
      <c r="M878" t="s">
        <v>20</v>
      </c>
      <c r="N878" t="s">
        <v>38</v>
      </c>
    </row>
    <row r="879" spans="1:14" x14ac:dyDescent="0.25">
      <c r="A879" t="s">
        <v>21</v>
      </c>
      <c r="B879" t="s">
        <v>22</v>
      </c>
      <c r="C879" t="s">
        <v>46</v>
      </c>
      <c r="D879" t="s">
        <v>473</v>
      </c>
      <c r="E879" t="s">
        <v>414</v>
      </c>
      <c r="F879">
        <v>165402.76</v>
      </c>
      <c r="H879">
        <v>523968.86</v>
      </c>
      <c r="I879">
        <v>114742.54</v>
      </c>
      <c r="J879" t="s">
        <v>25</v>
      </c>
      <c r="K879">
        <v>1</v>
      </c>
      <c r="M879" t="s">
        <v>30</v>
      </c>
      <c r="N879" t="s">
        <v>73</v>
      </c>
    </row>
    <row r="880" spans="1:14" x14ac:dyDescent="0.25">
      <c r="A880" t="s">
        <v>27</v>
      </c>
      <c r="B880" t="s">
        <v>28</v>
      </c>
      <c r="C880" t="s">
        <v>29</v>
      </c>
      <c r="D880" t="s">
        <v>472</v>
      </c>
      <c r="E880" t="s">
        <v>414</v>
      </c>
      <c r="F880">
        <v>193187.19</v>
      </c>
      <c r="H880">
        <v>591215.92000000004</v>
      </c>
      <c r="I880">
        <v>142002.51999999999</v>
      </c>
      <c r="J880" t="s">
        <v>77</v>
      </c>
      <c r="K880">
        <v>4</v>
      </c>
      <c r="M880" t="s">
        <v>20</v>
      </c>
      <c r="N880" t="s">
        <v>38</v>
      </c>
    </row>
    <row r="881" spans="1:14" x14ac:dyDescent="0.25">
      <c r="A881" t="s">
        <v>32</v>
      </c>
      <c r="B881" t="s">
        <v>33</v>
      </c>
      <c r="C881" t="s">
        <v>46</v>
      </c>
      <c r="D881" t="s">
        <v>474</v>
      </c>
      <c r="E881" t="s">
        <v>414</v>
      </c>
      <c r="F881">
        <v>114811.69</v>
      </c>
      <c r="H881">
        <v>16143.9</v>
      </c>
      <c r="I881">
        <v>3763.25</v>
      </c>
      <c r="J881" t="s">
        <v>53</v>
      </c>
      <c r="K881">
        <v>1</v>
      </c>
      <c r="M881" t="s">
        <v>58</v>
      </c>
      <c r="N881" t="s">
        <v>65</v>
      </c>
    </row>
    <row r="882" spans="1:14" x14ac:dyDescent="0.25">
      <c r="A882" t="s">
        <v>39</v>
      </c>
      <c r="B882" t="s">
        <v>40</v>
      </c>
      <c r="C882" t="s">
        <v>34</v>
      </c>
      <c r="D882" t="s">
        <v>475</v>
      </c>
      <c r="E882" t="s">
        <v>414</v>
      </c>
      <c r="F882">
        <v>156539.67000000001</v>
      </c>
      <c r="H882">
        <v>770042.59</v>
      </c>
      <c r="I882">
        <v>240540.59</v>
      </c>
      <c r="J882" t="s">
        <v>53</v>
      </c>
      <c r="K882">
        <v>3</v>
      </c>
      <c r="M882" t="s">
        <v>54</v>
      </c>
    </row>
    <row r="883" spans="1:14" x14ac:dyDescent="0.25">
      <c r="A883" t="s">
        <v>44</v>
      </c>
      <c r="B883" t="s">
        <v>45</v>
      </c>
      <c r="C883" t="s">
        <v>46</v>
      </c>
      <c r="D883" t="s">
        <v>475</v>
      </c>
      <c r="E883" t="s">
        <v>414</v>
      </c>
      <c r="F883">
        <v>160605.03</v>
      </c>
      <c r="H883">
        <v>651750.91</v>
      </c>
      <c r="I883">
        <v>150543.35</v>
      </c>
      <c r="J883" t="s">
        <v>53</v>
      </c>
      <c r="K883">
        <v>2</v>
      </c>
      <c r="M883" t="s">
        <v>112</v>
      </c>
      <c r="N883" t="s">
        <v>101</v>
      </c>
    </row>
    <row r="884" spans="1:14" x14ac:dyDescent="0.25">
      <c r="A884" t="s">
        <v>49</v>
      </c>
      <c r="B884" t="s">
        <v>50</v>
      </c>
      <c r="C884" t="s">
        <v>51</v>
      </c>
      <c r="D884" t="s">
        <v>473</v>
      </c>
      <c r="E884" t="s">
        <v>414</v>
      </c>
      <c r="F884">
        <v>256556</v>
      </c>
      <c r="H884">
        <v>89079.92</v>
      </c>
      <c r="I884">
        <v>16697.54</v>
      </c>
      <c r="J884" t="s">
        <v>36</v>
      </c>
      <c r="K884">
        <v>3</v>
      </c>
      <c r="M884" t="s">
        <v>54</v>
      </c>
    </row>
    <row r="885" spans="1:14" x14ac:dyDescent="0.25">
      <c r="A885" t="s">
        <v>55</v>
      </c>
      <c r="B885" t="s">
        <v>56</v>
      </c>
      <c r="C885" t="s">
        <v>61</v>
      </c>
      <c r="D885" t="s">
        <v>476</v>
      </c>
      <c r="E885" t="s">
        <v>414</v>
      </c>
      <c r="F885">
        <v>37474.160000000003</v>
      </c>
      <c r="H885">
        <v>3322.07</v>
      </c>
      <c r="I885">
        <v>761.27</v>
      </c>
      <c r="J885" t="s">
        <v>77</v>
      </c>
      <c r="K885">
        <v>1</v>
      </c>
      <c r="M885" t="s">
        <v>20</v>
      </c>
      <c r="N885" t="s">
        <v>43</v>
      </c>
    </row>
    <row r="886" spans="1:14" x14ac:dyDescent="0.25">
      <c r="A886" t="s">
        <v>59</v>
      </c>
      <c r="B886" t="s">
        <v>60</v>
      </c>
      <c r="C886" t="s">
        <v>70</v>
      </c>
      <c r="D886" t="s">
        <v>476</v>
      </c>
      <c r="E886" t="s">
        <v>414</v>
      </c>
      <c r="F886">
        <v>88964.5</v>
      </c>
      <c r="H886">
        <v>342745.03</v>
      </c>
      <c r="I886">
        <v>61860.26</v>
      </c>
      <c r="J886" t="s">
        <v>41</v>
      </c>
      <c r="K886">
        <v>4</v>
      </c>
      <c r="M886" t="s">
        <v>54</v>
      </c>
      <c r="N886" t="s">
        <v>81</v>
      </c>
    </row>
    <row r="887" spans="1:14" x14ac:dyDescent="0.25">
      <c r="A887" t="s">
        <v>62</v>
      </c>
      <c r="B887" t="s">
        <v>63</v>
      </c>
      <c r="C887" t="s">
        <v>76</v>
      </c>
      <c r="D887" t="s">
        <v>473</v>
      </c>
      <c r="E887" t="s">
        <v>414</v>
      </c>
      <c r="F887">
        <v>85147</v>
      </c>
      <c r="H887">
        <v>414492.4</v>
      </c>
      <c r="I887">
        <v>118047.27</v>
      </c>
      <c r="J887" t="s">
        <v>19</v>
      </c>
      <c r="K887">
        <v>5</v>
      </c>
      <c r="M887" t="s">
        <v>58</v>
      </c>
      <c r="N887" t="s">
        <v>26</v>
      </c>
    </row>
    <row r="888" spans="1:14" x14ac:dyDescent="0.25">
      <c r="A888" t="s">
        <v>66</v>
      </c>
      <c r="B888" t="s">
        <v>67</v>
      </c>
      <c r="C888" t="s">
        <v>76</v>
      </c>
      <c r="D888" t="s">
        <v>477</v>
      </c>
      <c r="E888" t="s">
        <v>423</v>
      </c>
      <c r="F888">
        <v>65301.13</v>
      </c>
      <c r="H888">
        <v>4886.05</v>
      </c>
      <c r="I888">
        <v>991.43</v>
      </c>
      <c r="J888" t="s">
        <v>104</v>
      </c>
      <c r="K888">
        <v>5</v>
      </c>
      <c r="M888" t="s">
        <v>30</v>
      </c>
    </row>
    <row r="889" spans="1:14" x14ac:dyDescent="0.25">
      <c r="A889" t="s">
        <v>68</v>
      </c>
      <c r="B889" t="s">
        <v>69</v>
      </c>
      <c r="C889" t="s">
        <v>70</v>
      </c>
      <c r="D889" t="s">
        <v>473</v>
      </c>
      <c r="E889" t="s">
        <v>423</v>
      </c>
      <c r="F889">
        <v>70965.960000000006</v>
      </c>
      <c r="H889">
        <v>325117.08</v>
      </c>
      <c r="I889">
        <v>101150.33</v>
      </c>
      <c r="J889" t="s">
        <v>25</v>
      </c>
      <c r="K889">
        <v>4</v>
      </c>
      <c r="M889" t="s">
        <v>42</v>
      </c>
    </row>
    <row r="890" spans="1:14" x14ac:dyDescent="0.25">
      <c r="A890" t="s">
        <v>82</v>
      </c>
      <c r="B890" t="s">
        <v>83</v>
      </c>
      <c r="C890" t="s">
        <v>80</v>
      </c>
      <c r="D890" t="s">
        <v>473</v>
      </c>
      <c r="E890" t="s">
        <v>414</v>
      </c>
      <c r="F890">
        <v>31191.86</v>
      </c>
      <c r="H890">
        <v>7302.07</v>
      </c>
      <c r="I890">
        <v>2554.04</v>
      </c>
      <c r="J890" t="s">
        <v>53</v>
      </c>
      <c r="K890">
        <v>12</v>
      </c>
      <c r="M890" t="s">
        <v>54</v>
      </c>
      <c r="N890" t="s">
        <v>73</v>
      </c>
    </row>
    <row r="891" spans="1:14" x14ac:dyDescent="0.25">
      <c r="A891" t="s">
        <v>84</v>
      </c>
      <c r="B891" t="s">
        <v>85</v>
      </c>
      <c r="C891" t="s">
        <v>86</v>
      </c>
      <c r="D891" t="s">
        <v>475</v>
      </c>
      <c r="E891" t="s">
        <v>414</v>
      </c>
      <c r="F891">
        <v>31359.82</v>
      </c>
      <c r="H891">
        <v>113138.07</v>
      </c>
      <c r="I891">
        <v>20926.169999999998</v>
      </c>
      <c r="J891" t="s">
        <v>53</v>
      </c>
      <c r="K891">
        <v>9</v>
      </c>
      <c r="M891" t="s">
        <v>99</v>
      </c>
      <c r="N891" t="s">
        <v>95</v>
      </c>
    </row>
    <row r="892" spans="1:14" x14ac:dyDescent="0.25">
      <c r="A892" t="s">
        <v>87</v>
      </c>
      <c r="B892" t="s">
        <v>88</v>
      </c>
      <c r="C892" t="s">
        <v>137</v>
      </c>
      <c r="D892" t="s">
        <v>473</v>
      </c>
      <c r="E892" t="s">
        <v>414</v>
      </c>
      <c r="F892">
        <v>18919.79</v>
      </c>
      <c r="H892">
        <v>534286</v>
      </c>
      <c r="I892">
        <v>16632.82</v>
      </c>
      <c r="J892" t="s">
        <v>53</v>
      </c>
      <c r="K892">
        <v>7</v>
      </c>
      <c r="M892" t="s">
        <v>30</v>
      </c>
      <c r="N892" t="s">
        <v>125</v>
      </c>
    </row>
    <row r="893" spans="1:14" x14ac:dyDescent="0.25">
      <c r="A893" t="s">
        <v>90</v>
      </c>
      <c r="B893" t="s">
        <v>91</v>
      </c>
      <c r="C893" t="s">
        <v>86</v>
      </c>
      <c r="D893" t="s">
        <v>473</v>
      </c>
      <c r="E893" t="s">
        <v>414</v>
      </c>
      <c r="F893">
        <v>12108.21</v>
      </c>
      <c r="H893" t="s">
        <v>478</v>
      </c>
      <c r="I893">
        <v>18344.82</v>
      </c>
      <c r="J893" t="s">
        <v>41</v>
      </c>
      <c r="K893">
        <v>9</v>
      </c>
      <c r="M893" t="s">
        <v>20</v>
      </c>
      <c r="N893" t="s">
        <v>31</v>
      </c>
    </row>
    <row r="894" spans="1:14" x14ac:dyDescent="0.25">
      <c r="A894" t="s">
        <v>93</v>
      </c>
      <c r="B894" t="s">
        <v>94</v>
      </c>
      <c r="C894" t="s">
        <v>80</v>
      </c>
      <c r="D894" t="s">
        <v>476</v>
      </c>
      <c r="E894" t="s">
        <v>414</v>
      </c>
      <c r="F894">
        <v>14947.26</v>
      </c>
      <c r="H894">
        <v>73112.490000000005</v>
      </c>
      <c r="I894">
        <v>19586.97</v>
      </c>
      <c r="J894" t="s">
        <v>77</v>
      </c>
      <c r="K894">
        <v>8</v>
      </c>
      <c r="M894" t="s">
        <v>112</v>
      </c>
      <c r="N894" t="s">
        <v>43</v>
      </c>
    </row>
    <row r="895" spans="1:14" x14ac:dyDescent="0.25">
      <c r="A895" t="s">
        <v>96</v>
      </c>
      <c r="B895" t="s">
        <v>97</v>
      </c>
      <c r="C895" t="s">
        <v>116</v>
      </c>
      <c r="D895" t="s">
        <v>476</v>
      </c>
      <c r="E895" t="s">
        <v>419</v>
      </c>
      <c r="F895">
        <v>10136.57</v>
      </c>
      <c r="H895">
        <v>47704.68</v>
      </c>
      <c r="I895">
        <v>16134.83</v>
      </c>
      <c r="J895" t="s">
        <v>41</v>
      </c>
      <c r="K895">
        <v>2</v>
      </c>
      <c r="M895" t="s">
        <v>99</v>
      </c>
      <c r="N895" t="s">
        <v>127</v>
      </c>
    </row>
    <row r="896" spans="1:14" x14ac:dyDescent="0.25">
      <c r="A896" t="s">
        <v>14</v>
      </c>
      <c r="B896" t="s">
        <v>15</v>
      </c>
      <c r="C896" t="s">
        <v>34</v>
      </c>
      <c r="D896" t="s">
        <v>479</v>
      </c>
      <c r="E896" t="s">
        <v>416</v>
      </c>
      <c r="F896" t="s">
        <v>480</v>
      </c>
      <c r="H896">
        <v>268758.56</v>
      </c>
      <c r="I896">
        <v>70248.84</v>
      </c>
      <c r="J896" t="s">
        <v>36</v>
      </c>
      <c r="K896">
        <v>2</v>
      </c>
      <c r="M896" t="s">
        <v>54</v>
      </c>
      <c r="N896" t="s">
        <v>31</v>
      </c>
    </row>
    <row r="897" spans="1:14" x14ac:dyDescent="0.25">
      <c r="A897" t="s">
        <v>21</v>
      </c>
      <c r="B897" t="s">
        <v>22</v>
      </c>
      <c r="C897" t="s">
        <v>111</v>
      </c>
      <c r="D897" t="s">
        <v>481</v>
      </c>
      <c r="E897" t="s">
        <v>414</v>
      </c>
      <c r="F897">
        <v>76562.62</v>
      </c>
      <c r="H897">
        <v>235920.19</v>
      </c>
      <c r="I897">
        <v>52621.3</v>
      </c>
      <c r="J897" t="s">
        <v>53</v>
      </c>
      <c r="K897">
        <v>3</v>
      </c>
      <c r="M897" t="s">
        <v>20</v>
      </c>
      <c r="N897" t="s">
        <v>26</v>
      </c>
    </row>
    <row r="898" spans="1:14" x14ac:dyDescent="0.25">
      <c r="A898" t="s">
        <v>27</v>
      </c>
      <c r="B898" t="s">
        <v>28</v>
      </c>
      <c r="C898" t="s">
        <v>34</v>
      </c>
      <c r="D898" t="s">
        <v>482</v>
      </c>
      <c r="E898" t="s">
        <v>414</v>
      </c>
      <c r="F898">
        <v>212225.01</v>
      </c>
      <c r="H898">
        <v>908813.92</v>
      </c>
      <c r="I898">
        <v>282511.77</v>
      </c>
      <c r="J898" t="s">
        <v>19</v>
      </c>
      <c r="K898">
        <v>5</v>
      </c>
      <c r="M898" t="s">
        <v>20</v>
      </c>
      <c r="N898" t="s">
        <v>125</v>
      </c>
    </row>
    <row r="899" spans="1:14" x14ac:dyDescent="0.25">
      <c r="A899" t="s">
        <v>32</v>
      </c>
      <c r="B899" t="s">
        <v>33</v>
      </c>
      <c r="C899" t="s">
        <v>34</v>
      </c>
      <c r="D899" t="s">
        <v>482</v>
      </c>
      <c r="E899" t="s">
        <v>414</v>
      </c>
      <c r="F899">
        <v>84298.71</v>
      </c>
      <c r="H899">
        <v>327729.96999999997</v>
      </c>
      <c r="I899">
        <v>68446.97</v>
      </c>
      <c r="J899" t="s">
        <v>41</v>
      </c>
      <c r="K899">
        <v>1</v>
      </c>
      <c r="M899" t="s">
        <v>99</v>
      </c>
      <c r="N899" t="s">
        <v>115</v>
      </c>
    </row>
    <row r="900" spans="1:14" x14ac:dyDescent="0.25">
      <c r="A900" t="s">
        <v>39</v>
      </c>
      <c r="B900" t="s">
        <v>40</v>
      </c>
      <c r="C900" t="s">
        <v>29</v>
      </c>
      <c r="D900" t="s">
        <v>481</v>
      </c>
      <c r="E900" t="s">
        <v>414</v>
      </c>
      <c r="F900">
        <v>180066.15</v>
      </c>
      <c r="H900">
        <v>6242015</v>
      </c>
      <c r="I900">
        <v>216228.62</v>
      </c>
      <c r="J900" t="s">
        <v>77</v>
      </c>
      <c r="K900">
        <v>3</v>
      </c>
      <c r="M900" t="s">
        <v>54</v>
      </c>
      <c r="N900" t="s">
        <v>26</v>
      </c>
    </row>
    <row r="901" spans="1:14" x14ac:dyDescent="0.25">
      <c r="A901" t="s">
        <v>44</v>
      </c>
      <c r="B901" t="s">
        <v>45</v>
      </c>
      <c r="C901" t="s">
        <v>111</v>
      </c>
      <c r="D901" t="s">
        <v>481</v>
      </c>
      <c r="E901" t="s">
        <v>412</v>
      </c>
      <c r="F901">
        <v>135487.46</v>
      </c>
      <c r="H901">
        <v>435797.37</v>
      </c>
      <c r="I901">
        <v>140865.06</v>
      </c>
      <c r="J901" t="s">
        <v>77</v>
      </c>
      <c r="K901">
        <v>3</v>
      </c>
      <c r="M901" t="s">
        <v>99</v>
      </c>
      <c r="N901" t="s">
        <v>95</v>
      </c>
    </row>
    <row r="902" spans="1:14" x14ac:dyDescent="0.25">
      <c r="A902" t="s">
        <v>49</v>
      </c>
      <c r="B902" t="s">
        <v>50</v>
      </c>
      <c r="C902" t="s">
        <v>76</v>
      </c>
      <c r="D902" t="s">
        <v>482</v>
      </c>
      <c r="E902" t="s">
        <v>414</v>
      </c>
      <c r="F902">
        <v>44170.58</v>
      </c>
      <c r="H902">
        <v>122258.99</v>
      </c>
      <c r="I902">
        <v>35535.17</v>
      </c>
      <c r="J902" t="s">
        <v>19</v>
      </c>
      <c r="K902">
        <v>6</v>
      </c>
      <c r="M902" t="s">
        <v>58</v>
      </c>
      <c r="N902" t="s">
        <v>38</v>
      </c>
    </row>
    <row r="903" spans="1:14" x14ac:dyDescent="0.25">
      <c r="A903" t="s">
        <v>55</v>
      </c>
      <c r="B903" t="s">
        <v>56</v>
      </c>
      <c r="C903" t="s">
        <v>114</v>
      </c>
      <c r="D903" t="s">
        <v>483</v>
      </c>
      <c r="E903" t="s">
        <v>414</v>
      </c>
      <c r="F903">
        <v>64073.91</v>
      </c>
      <c r="H903">
        <v>254105.26</v>
      </c>
      <c r="I903">
        <v>52434.77</v>
      </c>
      <c r="J903" t="s">
        <v>41</v>
      </c>
      <c r="K903">
        <v>6</v>
      </c>
      <c r="M903" t="s">
        <v>42</v>
      </c>
      <c r="N903" t="s">
        <v>31</v>
      </c>
    </row>
    <row r="904" spans="1:14" x14ac:dyDescent="0.25">
      <c r="A904" t="s">
        <v>59</v>
      </c>
      <c r="B904" t="s">
        <v>60</v>
      </c>
      <c r="C904" t="s">
        <v>57</v>
      </c>
      <c r="D904" t="s">
        <v>484</v>
      </c>
      <c r="E904" t="s">
        <v>414</v>
      </c>
      <c r="F904">
        <v>44187.49</v>
      </c>
      <c r="H904">
        <v>193066.1</v>
      </c>
      <c r="I904">
        <v>43043.63</v>
      </c>
      <c r="J904" t="s">
        <v>104</v>
      </c>
      <c r="K904">
        <v>3</v>
      </c>
      <c r="M904" t="s">
        <v>58</v>
      </c>
    </row>
    <row r="905" spans="1:14" x14ac:dyDescent="0.25">
      <c r="A905" t="s">
        <v>62</v>
      </c>
      <c r="B905" t="s">
        <v>63</v>
      </c>
      <c r="C905" t="s">
        <v>76</v>
      </c>
      <c r="D905" t="s">
        <v>484</v>
      </c>
      <c r="E905" t="s">
        <v>414</v>
      </c>
      <c r="F905">
        <v>53513.83</v>
      </c>
      <c r="H905" t="s">
        <v>485</v>
      </c>
      <c r="I905">
        <v>90279.46</v>
      </c>
      <c r="J905" t="s">
        <v>41</v>
      </c>
      <c r="K905">
        <v>5</v>
      </c>
      <c r="M905" t="s">
        <v>30</v>
      </c>
      <c r="N905" t="s">
        <v>113</v>
      </c>
    </row>
    <row r="906" spans="1:14" x14ac:dyDescent="0.25">
      <c r="A906" t="s">
        <v>68</v>
      </c>
      <c r="B906" t="s">
        <v>69</v>
      </c>
      <c r="C906" t="s">
        <v>57</v>
      </c>
      <c r="D906" t="s">
        <v>483</v>
      </c>
      <c r="E906" t="s">
        <v>414</v>
      </c>
      <c r="F906" t="s">
        <v>486</v>
      </c>
      <c r="H906">
        <v>148122.18</v>
      </c>
      <c r="I906">
        <v>39451.89</v>
      </c>
      <c r="J906" t="s">
        <v>25</v>
      </c>
      <c r="K906">
        <v>6</v>
      </c>
      <c r="M906" t="s">
        <v>177</v>
      </c>
      <c r="N906" t="s">
        <v>26</v>
      </c>
    </row>
    <row r="907" spans="1:14" x14ac:dyDescent="0.25">
      <c r="A907" t="s">
        <v>74</v>
      </c>
      <c r="B907" t="s">
        <v>75</v>
      </c>
      <c r="C907" t="s">
        <v>57</v>
      </c>
      <c r="D907" t="s">
        <v>482</v>
      </c>
      <c r="E907" t="s">
        <v>412</v>
      </c>
      <c r="F907">
        <v>85036.15</v>
      </c>
      <c r="H907">
        <v>330159.77</v>
      </c>
      <c r="I907">
        <v>95904.43</v>
      </c>
      <c r="J907" t="s">
        <v>41</v>
      </c>
      <c r="K907">
        <v>6</v>
      </c>
      <c r="M907" t="s">
        <v>64</v>
      </c>
      <c r="N907" t="s">
        <v>81</v>
      </c>
    </row>
    <row r="908" spans="1:14" x14ac:dyDescent="0.25">
      <c r="A908" t="s">
        <v>78</v>
      </c>
      <c r="B908" t="s">
        <v>79</v>
      </c>
      <c r="C908" t="s">
        <v>116</v>
      </c>
      <c r="D908" t="s">
        <v>479</v>
      </c>
      <c r="E908" t="s">
        <v>414</v>
      </c>
      <c r="F908">
        <v>31391.57</v>
      </c>
      <c r="H908">
        <v>143777.92000000001</v>
      </c>
      <c r="I908">
        <v>26732.31</v>
      </c>
      <c r="J908" t="s">
        <v>77</v>
      </c>
      <c r="K908">
        <v>5</v>
      </c>
      <c r="M908" t="s">
        <v>30</v>
      </c>
      <c r="N908" t="s">
        <v>38</v>
      </c>
    </row>
    <row r="909" spans="1:14" x14ac:dyDescent="0.25">
      <c r="A909" t="s">
        <v>82</v>
      </c>
      <c r="B909" t="s">
        <v>83</v>
      </c>
      <c r="C909" t="s">
        <v>86</v>
      </c>
      <c r="D909" t="s">
        <v>481</v>
      </c>
      <c r="E909" t="s">
        <v>414</v>
      </c>
      <c r="F909">
        <v>13705.99</v>
      </c>
      <c r="H909">
        <v>67585.740000000005</v>
      </c>
      <c r="I909">
        <v>17014.97</v>
      </c>
      <c r="J909" t="s">
        <v>104</v>
      </c>
      <c r="K909">
        <v>3</v>
      </c>
      <c r="M909" t="s">
        <v>20</v>
      </c>
      <c r="N909" t="s">
        <v>110</v>
      </c>
    </row>
    <row r="910" spans="1:14" x14ac:dyDescent="0.25">
      <c r="A910" t="s">
        <v>84</v>
      </c>
      <c r="B910" t="s">
        <v>85</v>
      </c>
      <c r="C910" t="s">
        <v>137</v>
      </c>
      <c r="D910" t="s">
        <v>487</v>
      </c>
      <c r="E910" t="s">
        <v>423</v>
      </c>
      <c r="F910">
        <v>10715.43</v>
      </c>
      <c r="H910">
        <v>51498.23</v>
      </c>
      <c r="I910">
        <v>16032.04</v>
      </c>
      <c r="J910" t="s">
        <v>77</v>
      </c>
      <c r="K910">
        <v>9</v>
      </c>
      <c r="M910" t="s">
        <v>54</v>
      </c>
    </row>
    <row r="911" spans="1:14" x14ac:dyDescent="0.25">
      <c r="A911" t="s">
        <v>87</v>
      </c>
      <c r="B911" t="s">
        <v>88</v>
      </c>
      <c r="C911" t="s">
        <v>137</v>
      </c>
      <c r="D911" t="s">
        <v>483</v>
      </c>
      <c r="E911" t="s">
        <v>414</v>
      </c>
      <c r="F911">
        <v>18941.919999999998</v>
      </c>
      <c r="H911">
        <v>1833.88</v>
      </c>
      <c r="I911">
        <v>465.23</v>
      </c>
      <c r="J911" t="s">
        <v>104</v>
      </c>
      <c r="K911">
        <v>10</v>
      </c>
      <c r="M911" t="s">
        <v>54</v>
      </c>
      <c r="N911" t="s">
        <v>95</v>
      </c>
    </row>
    <row r="912" spans="1:14" x14ac:dyDescent="0.25">
      <c r="A912" t="s">
        <v>90</v>
      </c>
      <c r="B912" t="s">
        <v>91</v>
      </c>
      <c r="C912" t="s">
        <v>126</v>
      </c>
      <c r="D912" t="s">
        <v>482</v>
      </c>
      <c r="E912" t="s">
        <v>423</v>
      </c>
      <c r="F912">
        <v>19576.37</v>
      </c>
      <c r="H912">
        <v>90241.81</v>
      </c>
      <c r="I912">
        <v>30001.31</v>
      </c>
      <c r="J912" t="s">
        <v>19</v>
      </c>
      <c r="K912">
        <v>2</v>
      </c>
      <c r="M912" t="s">
        <v>58</v>
      </c>
    </row>
    <row r="913" spans="1:14" x14ac:dyDescent="0.25">
      <c r="A913" t="s">
        <v>93</v>
      </c>
      <c r="B913" t="s">
        <v>94</v>
      </c>
      <c r="C913" t="s">
        <v>116</v>
      </c>
      <c r="D913" t="s">
        <v>487</v>
      </c>
      <c r="E913" t="s">
        <v>414</v>
      </c>
      <c r="F913">
        <v>39614.120000000003</v>
      </c>
      <c r="H913">
        <v>9456.75</v>
      </c>
      <c r="I913">
        <v>3144.79</v>
      </c>
      <c r="J913" t="s">
        <v>19</v>
      </c>
      <c r="K913">
        <v>7</v>
      </c>
      <c r="M913" t="s">
        <v>112</v>
      </c>
      <c r="N913" t="s">
        <v>26</v>
      </c>
    </row>
    <row r="914" spans="1:14" x14ac:dyDescent="0.25">
      <c r="A914" t="s">
        <v>96</v>
      </c>
      <c r="B914" t="s">
        <v>97</v>
      </c>
      <c r="C914" t="s">
        <v>126</v>
      </c>
      <c r="D914" t="s">
        <v>481</v>
      </c>
      <c r="E914" t="s">
        <v>414</v>
      </c>
      <c r="F914">
        <v>11725.18</v>
      </c>
      <c r="H914">
        <v>46962.97</v>
      </c>
      <c r="I914">
        <v>9224.34</v>
      </c>
      <c r="J914" t="s">
        <v>41</v>
      </c>
      <c r="K914">
        <v>12</v>
      </c>
      <c r="M914" t="s">
        <v>54</v>
      </c>
      <c r="N914" t="s">
        <v>43</v>
      </c>
    </row>
    <row r="915" spans="1:14" x14ac:dyDescent="0.25">
      <c r="A915" t="s">
        <v>14</v>
      </c>
      <c r="B915" t="s">
        <v>15</v>
      </c>
      <c r="C915" t="s">
        <v>111</v>
      </c>
      <c r="D915" t="s">
        <v>488</v>
      </c>
      <c r="E915" t="s">
        <v>414</v>
      </c>
      <c r="F915">
        <v>146853.91</v>
      </c>
      <c r="H915">
        <v>28111.74</v>
      </c>
      <c r="I915">
        <v>9818.58</v>
      </c>
      <c r="J915" t="s">
        <v>104</v>
      </c>
      <c r="K915">
        <v>3</v>
      </c>
      <c r="M915" t="s">
        <v>42</v>
      </c>
      <c r="N915" t="s">
        <v>81</v>
      </c>
    </row>
    <row r="916" spans="1:14" x14ac:dyDescent="0.25">
      <c r="A916" t="s">
        <v>21</v>
      </c>
      <c r="B916" t="s">
        <v>22</v>
      </c>
      <c r="C916" t="s">
        <v>16</v>
      </c>
      <c r="D916" t="s">
        <v>489</v>
      </c>
      <c r="E916" t="s">
        <v>414</v>
      </c>
      <c r="F916">
        <v>111932.75</v>
      </c>
      <c r="H916">
        <v>523185.86</v>
      </c>
      <c r="I916">
        <v>94178.87</v>
      </c>
      <c r="J916" t="s">
        <v>41</v>
      </c>
      <c r="K916">
        <v>5</v>
      </c>
      <c r="M916" t="s">
        <v>30</v>
      </c>
      <c r="N916" t="s">
        <v>101</v>
      </c>
    </row>
    <row r="917" spans="1:14" x14ac:dyDescent="0.25">
      <c r="A917" t="s">
        <v>27</v>
      </c>
      <c r="B917" t="s">
        <v>28</v>
      </c>
      <c r="C917" t="s">
        <v>16</v>
      </c>
      <c r="D917" t="s">
        <v>488</v>
      </c>
      <c r="E917" t="s">
        <v>414</v>
      </c>
      <c r="F917">
        <v>118982.46</v>
      </c>
      <c r="H917">
        <v>592496.79</v>
      </c>
      <c r="I917">
        <v>199269.83</v>
      </c>
      <c r="J917" t="s">
        <v>19</v>
      </c>
      <c r="K917">
        <v>5</v>
      </c>
      <c r="M917" t="s">
        <v>42</v>
      </c>
      <c r="N917" t="s">
        <v>31</v>
      </c>
    </row>
    <row r="918" spans="1:14" x14ac:dyDescent="0.25">
      <c r="A918" t="s">
        <v>32</v>
      </c>
      <c r="B918" t="s">
        <v>33</v>
      </c>
      <c r="C918" t="s">
        <v>16</v>
      </c>
      <c r="D918" t="s">
        <v>490</v>
      </c>
      <c r="E918" t="s">
        <v>414</v>
      </c>
      <c r="F918">
        <v>113651.87</v>
      </c>
      <c r="H918">
        <v>403374.71</v>
      </c>
      <c r="I918">
        <v>136652.57</v>
      </c>
      <c r="J918" t="s">
        <v>53</v>
      </c>
      <c r="K918">
        <v>3</v>
      </c>
      <c r="M918" t="s">
        <v>30</v>
      </c>
      <c r="N918" t="s">
        <v>110</v>
      </c>
    </row>
    <row r="919" spans="1:14" x14ac:dyDescent="0.25">
      <c r="A919" t="s">
        <v>39</v>
      </c>
      <c r="B919" t="s">
        <v>40</v>
      </c>
      <c r="C919" t="s">
        <v>118</v>
      </c>
      <c r="D919" t="s">
        <v>488</v>
      </c>
      <c r="E919" t="s">
        <v>423</v>
      </c>
      <c r="F919">
        <v>95289.02</v>
      </c>
      <c r="H919">
        <v>258751.06</v>
      </c>
      <c r="I919">
        <v>50132.51</v>
      </c>
      <c r="J919" t="s">
        <v>36</v>
      </c>
      <c r="K919">
        <v>1</v>
      </c>
      <c r="M919" t="s">
        <v>58</v>
      </c>
      <c r="N919" t="s">
        <v>113</v>
      </c>
    </row>
    <row r="920" spans="1:14" x14ac:dyDescent="0.25">
      <c r="A920" t="s">
        <v>49</v>
      </c>
      <c r="B920" t="s">
        <v>50</v>
      </c>
      <c r="C920" t="s">
        <v>57</v>
      </c>
      <c r="D920" t="s">
        <v>491</v>
      </c>
      <c r="E920" t="s">
        <v>414</v>
      </c>
      <c r="F920">
        <v>61976.09</v>
      </c>
      <c r="H920">
        <v>243876.3</v>
      </c>
      <c r="I920">
        <v>73390.67</v>
      </c>
      <c r="J920" t="s">
        <v>77</v>
      </c>
      <c r="K920">
        <v>6</v>
      </c>
      <c r="M920" t="s">
        <v>58</v>
      </c>
      <c r="N920" t="s">
        <v>31</v>
      </c>
    </row>
    <row r="921" spans="1:14" x14ac:dyDescent="0.25">
      <c r="A921" t="s">
        <v>55</v>
      </c>
      <c r="B921" t="s">
        <v>56</v>
      </c>
      <c r="C921" t="s">
        <v>61</v>
      </c>
      <c r="D921" t="s">
        <v>492</v>
      </c>
      <c r="E921" t="s">
        <v>416</v>
      </c>
      <c r="F921">
        <v>58333.04</v>
      </c>
      <c r="H921">
        <v>267797.14</v>
      </c>
      <c r="I921">
        <v>76629.850000000006</v>
      </c>
      <c r="J921" t="s">
        <v>36</v>
      </c>
      <c r="K921">
        <v>6</v>
      </c>
      <c r="M921" t="s">
        <v>58</v>
      </c>
      <c r="N921" t="s">
        <v>81</v>
      </c>
    </row>
    <row r="922" spans="1:14" x14ac:dyDescent="0.25">
      <c r="A922" t="s">
        <v>62</v>
      </c>
      <c r="B922" t="s">
        <v>63</v>
      </c>
      <c r="C922" t="s">
        <v>61</v>
      </c>
      <c r="D922" t="s">
        <v>493</v>
      </c>
      <c r="E922" t="s">
        <v>414</v>
      </c>
      <c r="F922">
        <v>63688.82</v>
      </c>
      <c r="H922">
        <v>194534.16</v>
      </c>
      <c r="I922">
        <v>50502.29</v>
      </c>
      <c r="J922" t="s">
        <v>77</v>
      </c>
      <c r="K922">
        <v>3</v>
      </c>
      <c r="M922" t="s">
        <v>42</v>
      </c>
      <c r="N922" t="s">
        <v>115</v>
      </c>
    </row>
    <row r="923" spans="1:14" x14ac:dyDescent="0.25">
      <c r="A923" t="s">
        <v>66</v>
      </c>
      <c r="B923" t="s">
        <v>67</v>
      </c>
      <c r="C923" t="s">
        <v>114</v>
      </c>
      <c r="D923" t="s">
        <v>492</v>
      </c>
      <c r="E923" t="s">
        <v>414</v>
      </c>
      <c r="F923">
        <v>46380.51</v>
      </c>
      <c r="H923">
        <v>120463.84</v>
      </c>
      <c r="I923">
        <v>25651.4</v>
      </c>
      <c r="J923" t="s">
        <v>53</v>
      </c>
      <c r="K923">
        <v>5</v>
      </c>
      <c r="M923" t="s">
        <v>42</v>
      </c>
      <c r="N923" t="s">
        <v>73</v>
      </c>
    </row>
    <row r="924" spans="1:14" x14ac:dyDescent="0.25">
      <c r="A924" t="s">
        <v>68</v>
      </c>
      <c r="B924" t="s">
        <v>69</v>
      </c>
      <c r="C924" t="s">
        <v>114</v>
      </c>
      <c r="D924" t="s">
        <v>491</v>
      </c>
      <c r="E924" t="s">
        <v>414</v>
      </c>
      <c r="F924">
        <v>38273.980000000003</v>
      </c>
      <c r="H924">
        <v>127643.02</v>
      </c>
      <c r="I924">
        <v>32617.48</v>
      </c>
      <c r="J924" t="s">
        <v>41</v>
      </c>
      <c r="K924">
        <v>3</v>
      </c>
      <c r="M924" t="s">
        <v>130</v>
      </c>
      <c r="N924" t="s">
        <v>113</v>
      </c>
    </row>
    <row r="925" spans="1:14" x14ac:dyDescent="0.25">
      <c r="A925" t="s">
        <v>74</v>
      </c>
      <c r="B925" t="s">
        <v>75</v>
      </c>
      <c r="C925" t="s">
        <v>76</v>
      </c>
      <c r="D925" t="s">
        <v>488</v>
      </c>
      <c r="E925" t="s">
        <v>414</v>
      </c>
      <c r="F925">
        <v>62450.53</v>
      </c>
      <c r="H925">
        <v>275665.96999999997</v>
      </c>
      <c r="I925">
        <v>72741.460000000006</v>
      </c>
      <c r="J925" t="s">
        <v>25</v>
      </c>
      <c r="K925">
        <v>6</v>
      </c>
      <c r="M925" t="s">
        <v>30</v>
      </c>
      <c r="N925" t="s">
        <v>127</v>
      </c>
    </row>
    <row r="926" spans="1:14" x14ac:dyDescent="0.25">
      <c r="A926" t="s">
        <v>78</v>
      </c>
      <c r="B926" t="s">
        <v>79</v>
      </c>
      <c r="C926" t="s">
        <v>126</v>
      </c>
      <c r="D926" t="s">
        <v>488</v>
      </c>
      <c r="E926" t="s">
        <v>414</v>
      </c>
      <c r="F926">
        <v>26540.31</v>
      </c>
      <c r="H926">
        <v>119792.42</v>
      </c>
      <c r="I926">
        <v>30628.7</v>
      </c>
      <c r="J926" t="s">
        <v>36</v>
      </c>
      <c r="K926">
        <v>8</v>
      </c>
      <c r="M926" t="s">
        <v>58</v>
      </c>
      <c r="N926" t="s">
        <v>26</v>
      </c>
    </row>
    <row r="927" spans="1:14" x14ac:dyDescent="0.25">
      <c r="A927" t="s">
        <v>82</v>
      </c>
      <c r="B927" t="s">
        <v>83</v>
      </c>
      <c r="C927" t="s">
        <v>137</v>
      </c>
      <c r="D927" t="s">
        <v>488</v>
      </c>
      <c r="E927" t="s">
        <v>414</v>
      </c>
      <c r="F927">
        <v>47768</v>
      </c>
      <c r="H927">
        <v>227031.36</v>
      </c>
      <c r="I927">
        <v>75605.22</v>
      </c>
      <c r="J927" t="s">
        <v>41</v>
      </c>
      <c r="K927">
        <v>7</v>
      </c>
      <c r="M927" t="s">
        <v>30</v>
      </c>
      <c r="N927" t="s">
        <v>95</v>
      </c>
    </row>
    <row r="928" spans="1:14" x14ac:dyDescent="0.25">
      <c r="A928" t="s">
        <v>84</v>
      </c>
      <c r="B928" t="s">
        <v>85</v>
      </c>
      <c r="C928" t="s">
        <v>116</v>
      </c>
      <c r="D928" t="s">
        <v>488</v>
      </c>
      <c r="E928" t="s">
        <v>423</v>
      </c>
      <c r="F928">
        <v>25676.26</v>
      </c>
      <c r="H928">
        <v>80856.45</v>
      </c>
      <c r="I928">
        <v>23043.93</v>
      </c>
      <c r="J928" t="s">
        <v>19</v>
      </c>
      <c r="K928">
        <v>2</v>
      </c>
      <c r="M928" t="s">
        <v>30</v>
      </c>
    </row>
    <row r="929" spans="1:14" x14ac:dyDescent="0.25">
      <c r="A929" t="s">
        <v>87</v>
      </c>
      <c r="B929" t="s">
        <v>88</v>
      </c>
      <c r="C929" t="s">
        <v>126</v>
      </c>
      <c r="D929" t="s">
        <v>493</v>
      </c>
      <c r="E929" t="s">
        <v>414</v>
      </c>
      <c r="F929">
        <v>25385.66</v>
      </c>
      <c r="H929">
        <v>105758.37</v>
      </c>
      <c r="I929">
        <v>19902.09</v>
      </c>
      <c r="J929" t="s">
        <v>41</v>
      </c>
      <c r="K929">
        <v>8</v>
      </c>
      <c r="M929" t="s">
        <v>54</v>
      </c>
      <c r="N929" t="s">
        <v>115</v>
      </c>
    </row>
    <row r="930" spans="1:14" x14ac:dyDescent="0.25">
      <c r="A930" t="s">
        <v>90</v>
      </c>
      <c r="B930" t="s">
        <v>91</v>
      </c>
      <c r="C930" t="s">
        <v>137</v>
      </c>
      <c r="D930" t="s">
        <v>492</v>
      </c>
      <c r="E930" t="s">
        <v>412</v>
      </c>
      <c r="F930">
        <v>19567.02</v>
      </c>
      <c r="H930">
        <v>83097.710000000006</v>
      </c>
      <c r="I930">
        <v>15867.47</v>
      </c>
      <c r="J930" t="s">
        <v>36</v>
      </c>
      <c r="K930">
        <v>10</v>
      </c>
      <c r="M930" t="s">
        <v>54</v>
      </c>
      <c r="N930" t="s">
        <v>105</v>
      </c>
    </row>
    <row r="931" spans="1:14" x14ac:dyDescent="0.25">
      <c r="A931" t="s">
        <v>93</v>
      </c>
      <c r="B931" t="s">
        <v>94</v>
      </c>
      <c r="C931" t="s">
        <v>116</v>
      </c>
      <c r="D931" t="s">
        <v>489</v>
      </c>
      <c r="E931" t="s">
        <v>416</v>
      </c>
      <c r="F931">
        <v>34600.69</v>
      </c>
      <c r="H931">
        <v>89378.559999999998</v>
      </c>
      <c r="I931">
        <v>23486.16</v>
      </c>
      <c r="J931" t="s">
        <v>104</v>
      </c>
      <c r="K931">
        <v>11</v>
      </c>
      <c r="M931" t="s">
        <v>30</v>
      </c>
      <c r="N931" t="s">
        <v>105</v>
      </c>
    </row>
    <row r="932" spans="1:14" x14ac:dyDescent="0.25">
      <c r="A932" t="s">
        <v>96</v>
      </c>
      <c r="B932" t="s">
        <v>97</v>
      </c>
      <c r="C932" t="s">
        <v>86</v>
      </c>
      <c r="D932" t="s">
        <v>490</v>
      </c>
      <c r="E932" t="s">
        <v>414</v>
      </c>
      <c r="F932" t="s">
        <v>494</v>
      </c>
      <c r="H932">
        <v>60557.67</v>
      </c>
      <c r="I932">
        <v>13142.63</v>
      </c>
      <c r="J932" t="s">
        <v>53</v>
      </c>
      <c r="K932">
        <v>5</v>
      </c>
      <c r="M932" t="s">
        <v>42</v>
      </c>
      <c r="N932" t="s">
        <v>125</v>
      </c>
    </row>
    <row r="933" spans="1:14" x14ac:dyDescent="0.25">
      <c r="A933" t="s">
        <v>14</v>
      </c>
      <c r="B933" t="s">
        <v>15</v>
      </c>
      <c r="C933" t="s">
        <v>29</v>
      </c>
      <c r="D933" t="s">
        <v>495</v>
      </c>
      <c r="E933" t="s">
        <v>414</v>
      </c>
      <c r="F933">
        <v>81126.990000000005</v>
      </c>
      <c r="H933">
        <v>12059.21</v>
      </c>
      <c r="I933">
        <v>4190.7299999999996</v>
      </c>
      <c r="J933" t="s">
        <v>77</v>
      </c>
      <c r="K933">
        <v>3</v>
      </c>
      <c r="M933" t="s">
        <v>20</v>
      </c>
      <c r="N933" t="s">
        <v>43</v>
      </c>
    </row>
    <row r="934" spans="1:14" x14ac:dyDescent="0.25">
      <c r="A934" t="s">
        <v>21</v>
      </c>
      <c r="B934" t="s">
        <v>22</v>
      </c>
      <c r="C934" t="s">
        <v>111</v>
      </c>
      <c r="D934" t="s">
        <v>496</v>
      </c>
      <c r="E934" t="s">
        <v>414</v>
      </c>
      <c r="F934">
        <v>87730.98</v>
      </c>
      <c r="H934">
        <v>392037.94</v>
      </c>
      <c r="I934">
        <v>113430.56</v>
      </c>
      <c r="J934" t="s">
        <v>41</v>
      </c>
      <c r="K934">
        <v>4</v>
      </c>
      <c r="M934" t="s">
        <v>30</v>
      </c>
      <c r="N934" t="s">
        <v>113</v>
      </c>
    </row>
    <row r="935" spans="1:14" x14ac:dyDescent="0.25">
      <c r="A935" t="s">
        <v>27</v>
      </c>
      <c r="B935" t="s">
        <v>28</v>
      </c>
      <c r="C935" t="s">
        <v>118</v>
      </c>
      <c r="D935" t="s">
        <v>497</v>
      </c>
      <c r="E935" t="s">
        <v>416</v>
      </c>
      <c r="F935">
        <v>206399.41</v>
      </c>
      <c r="H935">
        <v>718570.29</v>
      </c>
      <c r="I935">
        <v>145965.9</v>
      </c>
      <c r="J935" t="s">
        <v>53</v>
      </c>
      <c r="K935">
        <v>1</v>
      </c>
      <c r="M935" t="s">
        <v>42</v>
      </c>
      <c r="N935" t="s">
        <v>125</v>
      </c>
    </row>
    <row r="936" spans="1:14" x14ac:dyDescent="0.25">
      <c r="A936" t="s">
        <v>32</v>
      </c>
      <c r="B936" t="s">
        <v>33</v>
      </c>
      <c r="C936" t="s">
        <v>16</v>
      </c>
      <c r="D936" t="s">
        <v>498</v>
      </c>
      <c r="E936" t="s">
        <v>414</v>
      </c>
      <c r="F936">
        <v>163078.67000000001</v>
      </c>
      <c r="H936">
        <v>580355.30000000005</v>
      </c>
      <c r="I936">
        <v>109044.38</v>
      </c>
      <c r="J936" t="s">
        <v>104</v>
      </c>
      <c r="K936">
        <v>2</v>
      </c>
      <c r="M936" t="s">
        <v>58</v>
      </c>
    </row>
    <row r="937" spans="1:14" x14ac:dyDescent="0.25">
      <c r="A937" t="s">
        <v>39</v>
      </c>
      <c r="B937" t="s">
        <v>40</v>
      </c>
      <c r="C937" t="s">
        <v>118</v>
      </c>
      <c r="D937" t="s">
        <v>498</v>
      </c>
      <c r="E937" t="s">
        <v>414</v>
      </c>
      <c r="F937">
        <v>207026.33</v>
      </c>
      <c r="H937">
        <v>932215.28</v>
      </c>
      <c r="I937">
        <v>203558.96</v>
      </c>
      <c r="J937" t="s">
        <v>77</v>
      </c>
      <c r="K937">
        <v>5</v>
      </c>
      <c r="M937" t="s">
        <v>58</v>
      </c>
      <c r="N937" t="s">
        <v>127</v>
      </c>
    </row>
    <row r="938" spans="1:14" x14ac:dyDescent="0.25">
      <c r="A938" t="s">
        <v>44</v>
      </c>
      <c r="B938" t="s">
        <v>45</v>
      </c>
      <c r="C938" t="s">
        <v>46</v>
      </c>
      <c r="D938" t="s">
        <v>497</v>
      </c>
      <c r="E938" t="s">
        <v>414</v>
      </c>
      <c r="F938">
        <v>207380.52</v>
      </c>
      <c r="H938">
        <v>874313.9</v>
      </c>
      <c r="I938">
        <v>221843.97</v>
      </c>
      <c r="J938" t="s">
        <v>25</v>
      </c>
      <c r="K938">
        <v>1</v>
      </c>
      <c r="M938" t="s">
        <v>58</v>
      </c>
    </row>
    <row r="939" spans="1:14" x14ac:dyDescent="0.25">
      <c r="A939" t="s">
        <v>49</v>
      </c>
      <c r="B939" t="s">
        <v>50</v>
      </c>
      <c r="C939" t="s">
        <v>70</v>
      </c>
      <c r="D939" t="s">
        <v>498</v>
      </c>
      <c r="E939" t="s">
        <v>414</v>
      </c>
      <c r="F939">
        <v>53463.17</v>
      </c>
      <c r="H939">
        <v>233956.48000000001</v>
      </c>
      <c r="I939">
        <v>78590.320000000007</v>
      </c>
      <c r="J939" t="s">
        <v>41</v>
      </c>
      <c r="K939">
        <v>4</v>
      </c>
      <c r="M939" t="s">
        <v>54</v>
      </c>
    </row>
    <row r="940" spans="1:14" x14ac:dyDescent="0.25">
      <c r="A940" t="s">
        <v>55</v>
      </c>
      <c r="B940" t="s">
        <v>56</v>
      </c>
      <c r="C940" t="s">
        <v>70</v>
      </c>
      <c r="D940" t="s">
        <v>498</v>
      </c>
      <c r="E940" t="s">
        <v>414</v>
      </c>
      <c r="F940">
        <v>87686.7</v>
      </c>
      <c r="H940">
        <v>230927.39</v>
      </c>
      <c r="I940">
        <v>61741.98</v>
      </c>
      <c r="J940" t="s">
        <v>53</v>
      </c>
      <c r="K940">
        <v>2</v>
      </c>
      <c r="M940" t="s">
        <v>20</v>
      </c>
      <c r="N940" t="s">
        <v>105</v>
      </c>
    </row>
    <row r="941" spans="1:14" x14ac:dyDescent="0.25">
      <c r="A941" t="s">
        <v>59</v>
      </c>
      <c r="B941" t="s">
        <v>60</v>
      </c>
      <c r="C941" t="s">
        <v>51</v>
      </c>
      <c r="D941" t="s">
        <v>499</v>
      </c>
      <c r="E941" t="s">
        <v>412</v>
      </c>
      <c r="F941">
        <v>113519.26</v>
      </c>
      <c r="H941">
        <v>564021.27</v>
      </c>
      <c r="I941">
        <v>171628.39</v>
      </c>
      <c r="J941" t="s">
        <v>19</v>
      </c>
      <c r="K941">
        <v>6</v>
      </c>
      <c r="M941" t="s">
        <v>30</v>
      </c>
      <c r="N941" t="s">
        <v>113</v>
      </c>
    </row>
    <row r="942" spans="1:14" x14ac:dyDescent="0.25">
      <c r="A942" t="s">
        <v>62</v>
      </c>
      <c r="B942" t="s">
        <v>63</v>
      </c>
      <c r="C942" t="s">
        <v>61</v>
      </c>
      <c r="D942" t="s">
        <v>497</v>
      </c>
      <c r="E942" t="s">
        <v>423</v>
      </c>
      <c r="F942">
        <v>68042.63</v>
      </c>
      <c r="H942">
        <v>217225.8</v>
      </c>
      <c r="I942">
        <v>44612.86</v>
      </c>
      <c r="J942" t="s">
        <v>53</v>
      </c>
      <c r="K942">
        <v>2</v>
      </c>
      <c r="M942" t="s">
        <v>20</v>
      </c>
      <c r="N942" t="s">
        <v>43</v>
      </c>
    </row>
    <row r="943" spans="1:14" x14ac:dyDescent="0.25">
      <c r="A943" t="s">
        <v>66</v>
      </c>
      <c r="B943" t="s">
        <v>67</v>
      </c>
      <c r="C943" t="s">
        <v>70</v>
      </c>
      <c r="D943" t="s">
        <v>500</v>
      </c>
      <c r="E943" t="s">
        <v>414</v>
      </c>
      <c r="F943">
        <v>55075.72</v>
      </c>
      <c r="H943">
        <v>193750.6</v>
      </c>
      <c r="I943">
        <v>34970.160000000003</v>
      </c>
      <c r="J943" t="s">
        <v>41</v>
      </c>
      <c r="K943">
        <v>1</v>
      </c>
      <c r="M943" t="s">
        <v>54</v>
      </c>
      <c r="N943" t="s">
        <v>26</v>
      </c>
    </row>
    <row r="944" spans="1:14" x14ac:dyDescent="0.25">
      <c r="A944" t="s">
        <v>68</v>
      </c>
      <c r="B944" t="s">
        <v>69</v>
      </c>
      <c r="C944" t="s">
        <v>61</v>
      </c>
      <c r="D944" t="s">
        <v>498</v>
      </c>
      <c r="E944" t="s">
        <v>423</v>
      </c>
      <c r="F944">
        <v>69105.679999999993</v>
      </c>
      <c r="H944">
        <v>188254.03</v>
      </c>
      <c r="I944">
        <v>59902.86</v>
      </c>
      <c r="J944" t="s">
        <v>104</v>
      </c>
      <c r="K944">
        <v>6</v>
      </c>
      <c r="M944" t="s">
        <v>42</v>
      </c>
      <c r="N944" t="s">
        <v>31</v>
      </c>
    </row>
    <row r="945" spans="1:14" x14ac:dyDescent="0.25">
      <c r="A945" t="s">
        <v>74</v>
      </c>
      <c r="B945" t="s">
        <v>75</v>
      </c>
      <c r="C945" t="s">
        <v>51</v>
      </c>
      <c r="D945" t="s">
        <v>499</v>
      </c>
      <c r="E945" t="s">
        <v>414</v>
      </c>
      <c r="F945">
        <v>87921.65</v>
      </c>
      <c r="H945">
        <v>280449.34999999998</v>
      </c>
      <c r="I945">
        <v>69164.399999999994</v>
      </c>
      <c r="J945" t="s">
        <v>53</v>
      </c>
      <c r="K945">
        <v>2</v>
      </c>
      <c r="M945" t="s">
        <v>58</v>
      </c>
      <c r="N945" t="s">
        <v>65</v>
      </c>
    </row>
    <row r="946" spans="1:14" x14ac:dyDescent="0.25">
      <c r="A946" t="s">
        <v>78</v>
      </c>
      <c r="B946" t="s">
        <v>79</v>
      </c>
      <c r="C946" t="s">
        <v>80</v>
      </c>
      <c r="D946" t="s">
        <v>499</v>
      </c>
      <c r="E946" t="s">
        <v>414</v>
      </c>
      <c r="F946">
        <v>32500.1</v>
      </c>
      <c r="H946">
        <v>142443.31</v>
      </c>
      <c r="I946">
        <v>34918.269999999997</v>
      </c>
      <c r="J946" t="s">
        <v>36</v>
      </c>
      <c r="K946">
        <v>8</v>
      </c>
      <c r="M946" t="s">
        <v>112</v>
      </c>
      <c r="N946" t="s">
        <v>115</v>
      </c>
    </row>
    <row r="947" spans="1:14" x14ac:dyDescent="0.25">
      <c r="A947" t="s">
        <v>82</v>
      </c>
      <c r="B947" t="s">
        <v>83</v>
      </c>
      <c r="C947" t="s">
        <v>116</v>
      </c>
      <c r="D947" t="s">
        <v>498</v>
      </c>
      <c r="E947" t="s">
        <v>414</v>
      </c>
      <c r="F947">
        <v>26890.880000000001</v>
      </c>
      <c r="H947">
        <v>79903.87</v>
      </c>
      <c r="I947">
        <v>20044.8</v>
      </c>
      <c r="J947" t="s">
        <v>104</v>
      </c>
      <c r="K947">
        <v>2</v>
      </c>
      <c r="M947" t="s">
        <v>54</v>
      </c>
      <c r="N947" t="s">
        <v>26</v>
      </c>
    </row>
    <row r="948" spans="1:14" x14ac:dyDescent="0.25">
      <c r="A948" t="s">
        <v>84</v>
      </c>
      <c r="B948" t="s">
        <v>85</v>
      </c>
      <c r="C948" t="s">
        <v>89</v>
      </c>
      <c r="D948" t="s">
        <v>497</v>
      </c>
      <c r="E948" t="s">
        <v>414</v>
      </c>
      <c r="F948">
        <v>11965.17</v>
      </c>
      <c r="H948">
        <v>42205.2</v>
      </c>
      <c r="I948">
        <v>13543.11</v>
      </c>
      <c r="J948" t="s">
        <v>104</v>
      </c>
      <c r="K948">
        <v>7</v>
      </c>
      <c r="M948" t="s">
        <v>64</v>
      </c>
    </row>
    <row r="949" spans="1:14" x14ac:dyDescent="0.25">
      <c r="A949" t="s">
        <v>87</v>
      </c>
      <c r="B949" t="s">
        <v>88</v>
      </c>
      <c r="C949" t="s">
        <v>89</v>
      </c>
      <c r="D949" t="s">
        <v>495</v>
      </c>
      <c r="E949" t="s">
        <v>414</v>
      </c>
      <c r="F949">
        <v>33626.879999999997</v>
      </c>
      <c r="H949">
        <v>141841.81</v>
      </c>
      <c r="I949">
        <v>40548.559999999998</v>
      </c>
      <c r="J949" t="s">
        <v>77</v>
      </c>
      <c r="K949">
        <v>8</v>
      </c>
      <c r="M949" t="s">
        <v>58</v>
      </c>
      <c r="N949" t="s">
        <v>81</v>
      </c>
    </row>
    <row r="950" spans="1:14" x14ac:dyDescent="0.25">
      <c r="A950" t="s">
        <v>90</v>
      </c>
      <c r="B950" t="s">
        <v>91</v>
      </c>
      <c r="C950" t="s">
        <v>137</v>
      </c>
      <c r="D950" t="s">
        <v>497</v>
      </c>
      <c r="E950" t="s">
        <v>414</v>
      </c>
      <c r="F950">
        <v>31958.76</v>
      </c>
      <c r="H950">
        <v>156790.14000000001</v>
      </c>
      <c r="I950">
        <v>40508.080000000002</v>
      </c>
      <c r="J950" t="s">
        <v>53</v>
      </c>
      <c r="K950">
        <v>4</v>
      </c>
      <c r="M950" t="s">
        <v>37</v>
      </c>
      <c r="N950" t="s">
        <v>105</v>
      </c>
    </row>
    <row r="951" spans="1:14" x14ac:dyDescent="0.25">
      <c r="A951" t="s">
        <v>93</v>
      </c>
      <c r="B951" t="s">
        <v>94</v>
      </c>
      <c r="C951" t="s">
        <v>89</v>
      </c>
      <c r="D951" t="s">
        <v>495</v>
      </c>
      <c r="E951" t="s">
        <v>414</v>
      </c>
      <c r="F951">
        <v>37004.57</v>
      </c>
      <c r="H951">
        <v>95100.76</v>
      </c>
      <c r="I951">
        <v>21435.99</v>
      </c>
      <c r="J951" t="s">
        <v>36</v>
      </c>
      <c r="K951">
        <v>9</v>
      </c>
      <c r="M951" t="s">
        <v>20</v>
      </c>
      <c r="N951" t="s">
        <v>81</v>
      </c>
    </row>
    <row r="952" spans="1:14" x14ac:dyDescent="0.25">
      <c r="A952" t="s">
        <v>96</v>
      </c>
      <c r="B952" t="s">
        <v>97</v>
      </c>
      <c r="C952" t="s">
        <v>80</v>
      </c>
      <c r="D952" t="s">
        <v>499</v>
      </c>
      <c r="E952" t="s">
        <v>414</v>
      </c>
      <c r="F952">
        <v>17733.3</v>
      </c>
      <c r="H952">
        <v>60768.42</v>
      </c>
      <c r="I952">
        <v>19794.21</v>
      </c>
      <c r="J952" t="s">
        <v>36</v>
      </c>
      <c r="K952">
        <v>8</v>
      </c>
      <c r="M952" t="s">
        <v>54</v>
      </c>
      <c r="N952" t="s">
        <v>95</v>
      </c>
    </row>
    <row r="953" spans="1:14" x14ac:dyDescent="0.25">
      <c r="A953" t="s">
        <v>21</v>
      </c>
      <c r="B953" t="s">
        <v>22</v>
      </c>
      <c r="C953" t="s">
        <v>29</v>
      </c>
      <c r="D953" t="s">
        <v>501</v>
      </c>
      <c r="E953" t="s">
        <v>412</v>
      </c>
      <c r="F953">
        <v>58083.8</v>
      </c>
      <c r="H953">
        <v>281691.33</v>
      </c>
      <c r="I953">
        <v>89721.56</v>
      </c>
      <c r="J953" t="s">
        <v>53</v>
      </c>
      <c r="K953">
        <v>2</v>
      </c>
      <c r="M953" t="s">
        <v>54</v>
      </c>
      <c r="N953" t="s">
        <v>105</v>
      </c>
    </row>
    <row r="954" spans="1:14" x14ac:dyDescent="0.25">
      <c r="A954" t="s">
        <v>32</v>
      </c>
      <c r="B954" t="s">
        <v>33</v>
      </c>
      <c r="C954" t="s">
        <v>16</v>
      </c>
      <c r="D954" t="s">
        <v>502</v>
      </c>
      <c r="E954" t="s">
        <v>414</v>
      </c>
      <c r="F954">
        <v>118665.74</v>
      </c>
      <c r="H954">
        <v>527148.72</v>
      </c>
      <c r="I954">
        <v>105520.83</v>
      </c>
      <c r="J954" t="s">
        <v>53</v>
      </c>
      <c r="K954">
        <v>2</v>
      </c>
      <c r="M954" t="s">
        <v>42</v>
      </c>
      <c r="N954" t="s">
        <v>127</v>
      </c>
    </row>
    <row r="955" spans="1:14" x14ac:dyDescent="0.25">
      <c r="A955" t="s">
        <v>39</v>
      </c>
      <c r="B955" t="s">
        <v>40</v>
      </c>
      <c r="C955" t="s">
        <v>16</v>
      </c>
      <c r="D955" t="s">
        <v>503</v>
      </c>
      <c r="E955" t="s">
        <v>414</v>
      </c>
      <c r="F955">
        <v>124342.88</v>
      </c>
      <c r="H955">
        <v>20306.96</v>
      </c>
      <c r="I955">
        <v>4414.7700000000004</v>
      </c>
      <c r="J955" t="s">
        <v>104</v>
      </c>
      <c r="K955">
        <v>4</v>
      </c>
      <c r="M955" t="s">
        <v>30</v>
      </c>
      <c r="N955" t="s">
        <v>95</v>
      </c>
    </row>
    <row r="956" spans="1:14" x14ac:dyDescent="0.25">
      <c r="A956" t="s">
        <v>44</v>
      </c>
      <c r="B956" t="s">
        <v>45</v>
      </c>
      <c r="C956" t="s">
        <v>118</v>
      </c>
      <c r="D956" t="s">
        <v>504</v>
      </c>
      <c r="E956" t="s">
        <v>414</v>
      </c>
      <c r="F956">
        <v>142528.78</v>
      </c>
      <c r="H956">
        <v>554786.64</v>
      </c>
      <c r="I956">
        <v>119584.04</v>
      </c>
      <c r="J956" t="s">
        <v>25</v>
      </c>
      <c r="K956">
        <v>6</v>
      </c>
      <c r="M956" t="s">
        <v>58</v>
      </c>
      <c r="N956" t="s">
        <v>101</v>
      </c>
    </row>
    <row r="957" spans="1:14" x14ac:dyDescent="0.25">
      <c r="A957" t="s">
        <v>49</v>
      </c>
      <c r="B957" t="s">
        <v>50</v>
      </c>
      <c r="C957" t="s">
        <v>61</v>
      </c>
      <c r="D957" t="s">
        <v>504</v>
      </c>
      <c r="E957" t="s">
        <v>414</v>
      </c>
      <c r="F957">
        <v>28604.37</v>
      </c>
      <c r="H957">
        <v>109342.83</v>
      </c>
      <c r="I957">
        <v>35952.26</v>
      </c>
      <c r="J957" t="s">
        <v>104</v>
      </c>
      <c r="K957">
        <v>2</v>
      </c>
      <c r="M957" t="s">
        <v>20</v>
      </c>
      <c r="N957" t="s">
        <v>127</v>
      </c>
    </row>
    <row r="958" spans="1:14" x14ac:dyDescent="0.25">
      <c r="A958" t="s">
        <v>55</v>
      </c>
      <c r="B958" t="s">
        <v>56</v>
      </c>
      <c r="C958" t="s">
        <v>51</v>
      </c>
      <c r="D958" t="s">
        <v>503</v>
      </c>
      <c r="E958" t="s">
        <v>412</v>
      </c>
      <c r="F958">
        <v>33716.720000000001</v>
      </c>
      <c r="H958">
        <v>162261.76999999999</v>
      </c>
      <c r="I958">
        <v>39057.82</v>
      </c>
      <c r="J958" t="s">
        <v>41</v>
      </c>
      <c r="K958">
        <v>2</v>
      </c>
      <c r="M958" t="s">
        <v>54</v>
      </c>
    </row>
    <row r="959" spans="1:14" x14ac:dyDescent="0.25">
      <c r="A959" t="s">
        <v>59</v>
      </c>
      <c r="B959" t="s">
        <v>60</v>
      </c>
      <c r="C959" t="s">
        <v>57</v>
      </c>
      <c r="D959" t="s">
        <v>503</v>
      </c>
      <c r="E959" t="s">
        <v>423</v>
      </c>
      <c r="F959">
        <v>54156.27</v>
      </c>
      <c r="H959">
        <v>225096.2</v>
      </c>
      <c r="I959">
        <v>45106.03</v>
      </c>
      <c r="J959" t="s">
        <v>41</v>
      </c>
      <c r="K959">
        <v>1</v>
      </c>
      <c r="M959" t="s">
        <v>58</v>
      </c>
      <c r="N959" t="s">
        <v>115</v>
      </c>
    </row>
    <row r="960" spans="1:14" x14ac:dyDescent="0.25">
      <c r="A960" t="s">
        <v>62</v>
      </c>
      <c r="B960" t="s">
        <v>63</v>
      </c>
      <c r="C960" t="s">
        <v>57</v>
      </c>
      <c r="D960" t="s">
        <v>503</v>
      </c>
      <c r="E960" t="s">
        <v>414</v>
      </c>
      <c r="F960">
        <v>41886.94</v>
      </c>
      <c r="H960">
        <v>141479.87</v>
      </c>
      <c r="I960">
        <v>44119.95</v>
      </c>
      <c r="J960" t="s">
        <v>36</v>
      </c>
      <c r="K960">
        <v>2</v>
      </c>
      <c r="M960" t="s">
        <v>112</v>
      </c>
    </row>
    <row r="961" spans="1:14" x14ac:dyDescent="0.25">
      <c r="A961" t="s">
        <v>66</v>
      </c>
      <c r="B961" t="s">
        <v>67</v>
      </c>
      <c r="C961" t="s">
        <v>70</v>
      </c>
      <c r="D961" t="s">
        <v>505</v>
      </c>
      <c r="E961" t="s">
        <v>416</v>
      </c>
      <c r="F961">
        <v>837595</v>
      </c>
      <c r="H961">
        <v>253545.68</v>
      </c>
      <c r="I961">
        <v>52921.55</v>
      </c>
      <c r="J961" t="s">
        <v>53</v>
      </c>
      <c r="K961">
        <v>6</v>
      </c>
      <c r="M961" t="s">
        <v>20</v>
      </c>
      <c r="N961" t="s">
        <v>105</v>
      </c>
    </row>
    <row r="962" spans="1:14" x14ac:dyDescent="0.25">
      <c r="A962" t="s">
        <v>68</v>
      </c>
      <c r="B962" t="s">
        <v>69</v>
      </c>
      <c r="C962" t="s">
        <v>57</v>
      </c>
      <c r="D962" t="s">
        <v>504</v>
      </c>
      <c r="E962" t="s">
        <v>414</v>
      </c>
      <c r="F962">
        <v>43530.11</v>
      </c>
      <c r="H962">
        <v>155274.23999999999</v>
      </c>
      <c r="I962">
        <v>53606.69</v>
      </c>
      <c r="J962" t="s">
        <v>77</v>
      </c>
      <c r="K962">
        <v>4</v>
      </c>
      <c r="M962" t="s">
        <v>30</v>
      </c>
      <c r="N962" t="s">
        <v>125</v>
      </c>
    </row>
    <row r="963" spans="1:14" x14ac:dyDescent="0.25">
      <c r="A963" t="s">
        <v>74</v>
      </c>
      <c r="B963" t="s">
        <v>75</v>
      </c>
      <c r="C963" t="s">
        <v>70</v>
      </c>
      <c r="D963" t="s">
        <v>503</v>
      </c>
      <c r="E963" t="s">
        <v>419</v>
      </c>
      <c r="F963">
        <v>41994.2</v>
      </c>
      <c r="H963">
        <v>106472.03</v>
      </c>
      <c r="I963">
        <v>26340.37</v>
      </c>
      <c r="J963" t="s">
        <v>36</v>
      </c>
      <c r="K963">
        <v>3</v>
      </c>
      <c r="M963" t="s">
        <v>54</v>
      </c>
    </row>
    <row r="964" spans="1:14" x14ac:dyDescent="0.25">
      <c r="A964" t="s">
        <v>78</v>
      </c>
      <c r="B964" t="s">
        <v>79</v>
      </c>
      <c r="C964" t="s">
        <v>89</v>
      </c>
      <c r="D964" t="s">
        <v>503</v>
      </c>
      <c r="E964" t="s">
        <v>414</v>
      </c>
      <c r="F964">
        <v>29042.47</v>
      </c>
      <c r="H964" t="s">
        <v>506</v>
      </c>
      <c r="I964">
        <v>19449.310000000001</v>
      </c>
      <c r="J964" t="s">
        <v>53</v>
      </c>
      <c r="K964">
        <v>5</v>
      </c>
      <c r="M964" t="s">
        <v>92</v>
      </c>
    </row>
    <row r="965" spans="1:14" x14ac:dyDescent="0.25">
      <c r="A965" t="s">
        <v>82</v>
      </c>
      <c r="B965" t="s">
        <v>83</v>
      </c>
      <c r="C965" t="s">
        <v>126</v>
      </c>
      <c r="D965" t="s">
        <v>501</v>
      </c>
      <c r="E965" t="s">
        <v>414</v>
      </c>
      <c r="F965">
        <v>48858.26</v>
      </c>
      <c r="H965">
        <v>191289.09</v>
      </c>
      <c r="I965">
        <v>56057.4</v>
      </c>
      <c r="J965" t="s">
        <v>41</v>
      </c>
      <c r="K965">
        <v>12</v>
      </c>
      <c r="M965" t="s">
        <v>58</v>
      </c>
      <c r="N965" t="s">
        <v>95</v>
      </c>
    </row>
    <row r="966" spans="1:14" x14ac:dyDescent="0.25">
      <c r="A966" t="s">
        <v>84</v>
      </c>
      <c r="B966" t="s">
        <v>85</v>
      </c>
      <c r="C966" t="s">
        <v>80</v>
      </c>
      <c r="D966" t="s">
        <v>503</v>
      </c>
      <c r="E966" t="s">
        <v>414</v>
      </c>
      <c r="F966">
        <v>32305.89</v>
      </c>
      <c r="H966">
        <v>153217.85999999999</v>
      </c>
      <c r="I966">
        <v>40050.239999999998</v>
      </c>
      <c r="J966" t="s">
        <v>25</v>
      </c>
      <c r="K966">
        <v>5</v>
      </c>
      <c r="M966" t="s">
        <v>30</v>
      </c>
      <c r="N966" t="s">
        <v>81</v>
      </c>
    </row>
    <row r="967" spans="1:14" x14ac:dyDescent="0.25">
      <c r="A967" t="s">
        <v>87</v>
      </c>
      <c r="B967" t="s">
        <v>88</v>
      </c>
      <c r="C967" t="s">
        <v>126</v>
      </c>
      <c r="D967" t="s">
        <v>507</v>
      </c>
      <c r="E967" t="s">
        <v>414</v>
      </c>
      <c r="F967">
        <v>23090.04</v>
      </c>
      <c r="H967">
        <v>64769</v>
      </c>
      <c r="I967">
        <v>13293.48</v>
      </c>
      <c r="J967" t="s">
        <v>19</v>
      </c>
      <c r="K967">
        <v>12</v>
      </c>
      <c r="M967" t="s">
        <v>20</v>
      </c>
    </row>
    <row r="968" spans="1:14" x14ac:dyDescent="0.25">
      <c r="A968" t="s">
        <v>90</v>
      </c>
      <c r="B968" t="s">
        <v>91</v>
      </c>
      <c r="C968" t="s">
        <v>89</v>
      </c>
      <c r="D968" t="s">
        <v>503</v>
      </c>
      <c r="E968" t="s">
        <v>414</v>
      </c>
      <c r="F968">
        <v>18425.14</v>
      </c>
      <c r="H968">
        <v>58815.3</v>
      </c>
      <c r="I968">
        <v>14201.57</v>
      </c>
      <c r="J968" t="s">
        <v>19</v>
      </c>
      <c r="K968">
        <v>6</v>
      </c>
      <c r="M968" t="s">
        <v>58</v>
      </c>
      <c r="N968" t="s">
        <v>81</v>
      </c>
    </row>
    <row r="969" spans="1:14" x14ac:dyDescent="0.25">
      <c r="A969" t="s">
        <v>93</v>
      </c>
      <c r="B969" t="s">
        <v>94</v>
      </c>
      <c r="C969" t="s">
        <v>126</v>
      </c>
      <c r="D969" t="s">
        <v>503</v>
      </c>
      <c r="E969" t="s">
        <v>414</v>
      </c>
      <c r="F969" t="s">
        <v>508</v>
      </c>
      <c r="H969" t="s">
        <v>509</v>
      </c>
      <c r="I969">
        <v>20223.32</v>
      </c>
      <c r="J969" t="s">
        <v>25</v>
      </c>
      <c r="K969">
        <v>9</v>
      </c>
      <c r="M969" t="s">
        <v>42</v>
      </c>
      <c r="N969" t="s">
        <v>125</v>
      </c>
    </row>
    <row r="970" spans="1:14" x14ac:dyDescent="0.25">
      <c r="A970" t="s">
        <v>96</v>
      </c>
      <c r="B970" t="s">
        <v>97</v>
      </c>
      <c r="C970" t="s">
        <v>80</v>
      </c>
      <c r="D970" t="s">
        <v>505</v>
      </c>
      <c r="E970" t="s">
        <v>419</v>
      </c>
      <c r="F970">
        <v>9920.26</v>
      </c>
      <c r="H970">
        <v>37105</v>
      </c>
      <c r="I970">
        <v>10852.38</v>
      </c>
      <c r="J970" t="s">
        <v>25</v>
      </c>
      <c r="K970">
        <v>4</v>
      </c>
      <c r="M970" t="s">
        <v>58</v>
      </c>
      <c r="N97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BDFA-3044-42EF-92CA-D1905515932C}">
  <dimension ref="A1:N970"/>
  <sheetViews>
    <sheetView topLeftCell="F1" zoomScale="96" zoomScaleNormal="96" workbookViewId="0">
      <selection activeCell="K2" sqref="K2:K1048576"/>
    </sheetView>
  </sheetViews>
  <sheetFormatPr defaultRowHeight="15" x14ac:dyDescent="0.25"/>
  <cols>
    <col min="1" max="1" width="9.5703125" bestFit="1" customWidth="1"/>
    <col min="2" max="2" width="18" bestFit="1" customWidth="1"/>
    <col min="3" max="3" width="14.140625" bestFit="1" customWidth="1"/>
    <col min="4" max="4" width="21" bestFit="1" customWidth="1"/>
    <col min="5" max="5" width="12.42578125" bestFit="1" customWidth="1"/>
    <col min="6" max="6" width="22.140625" bestFit="1" customWidth="1"/>
    <col min="7" max="7" width="25.140625" bestFit="1" customWidth="1"/>
    <col min="8" max="8" width="17" bestFit="1" customWidth="1"/>
    <col min="9" max="9" width="20.85546875" bestFit="1" customWidth="1"/>
    <col min="10" max="10" width="24.7109375" bestFit="1" customWidth="1"/>
    <col min="11" max="11" width="20.85546875" bestFit="1" customWidth="1"/>
    <col min="12" max="12" width="30.5703125" bestFit="1" customWidth="1"/>
    <col min="13" max="13" width="42.7109375" bestFit="1" customWidth="1"/>
    <col min="14" max="14" width="20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s="1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641</v>
      </c>
      <c r="N1" t="s">
        <v>610</v>
      </c>
    </row>
    <row r="2" spans="1:14" x14ac:dyDescent="0.25">
      <c r="A2" t="s">
        <v>14</v>
      </c>
      <c r="B2" t="s">
        <v>15</v>
      </c>
      <c r="C2" t="s">
        <v>16</v>
      </c>
      <c r="D2" s="13">
        <v>45296</v>
      </c>
      <c r="E2" t="s">
        <v>18</v>
      </c>
      <c r="F2">
        <v>83501.509999999995</v>
      </c>
      <c r="G2">
        <v>80495.839999999997</v>
      </c>
      <c r="H2">
        <v>237882.83</v>
      </c>
      <c r="I2">
        <v>72771.570000000007</v>
      </c>
      <c r="J2">
        <v>5</v>
      </c>
      <c r="K2">
        <v>4</v>
      </c>
      <c r="L2" t="s">
        <v>30</v>
      </c>
      <c r="M2" t="s">
        <v>611</v>
      </c>
      <c r="N2" t="s">
        <v>612</v>
      </c>
    </row>
    <row r="3" spans="1:14" x14ac:dyDescent="0.25">
      <c r="A3" t="s">
        <v>21</v>
      </c>
      <c r="B3" t="s">
        <v>22</v>
      </c>
      <c r="C3" t="s">
        <v>16</v>
      </c>
      <c r="D3" s="13">
        <v>45296</v>
      </c>
      <c r="E3" t="s">
        <v>18</v>
      </c>
      <c r="F3">
        <v>101890.04</v>
      </c>
      <c r="G3">
        <v>187730.93</v>
      </c>
      <c r="H3">
        <v>432558.75</v>
      </c>
      <c r="I3">
        <v>89293.759999999995</v>
      </c>
      <c r="J3">
        <v>3</v>
      </c>
      <c r="K3">
        <v>3</v>
      </c>
      <c r="L3" t="s">
        <v>30</v>
      </c>
      <c r="M3" t="s">
        <v>26</v>
      </c>
      <c r="N3" t="s">
        <v>612</v>
      </c>
    </row>
    <row r="4" spans="1:14" x14ac:dyDescent="0.25">
      <c r="A4" t="s">
        <v>27</v>
      </c>
      <c r="B4" t="s">
        <v>28</v>
      </c>
      <c r="C4" t="s">
        <v>16</v>
      </c>
      <c r="D4" s="13">
        <v>45296</v>
      </c>
      <c r="E4" t="s">
        <v>18</v>
      </c>
      <c r="F4">
        <v>196116.65</v>
      </c>
      <c r="G4">
        <v>199835.64</v>
      </c>
      <c r="H4">
        <v>773362.56</v>
      </c>
      <c r="I4">
        <v>145229.87</v>
      </c>
      <c r="J4">
        <v>2</v>
      </c>
      <c r="K4">
        <v>6</v>
      </c>
      <c r="L4" t="s">
        <v>30</v>
      </c>
      <c r="M4" t="s">
        <v>31</v>
      </c>
      <c r="N4" t="s">
        <v>612</v>
      </c>
    </row>
    <row r="5" spans="1:14" x14ac:dyDescent="0.25">
      <c r="A5" t="s">
        <v>32</v>
      </c>
      <c r="B5" t="s">
        <v>33</v>
      </c>
      <c r="C5" t="s">
        <v>16</v>
      </c>
      <c r="D5" s="13">
        <v>45296</v>
      </c>
      <c r="E5" t="s">
        <v>18</v>
      </c>
      <c r="F5">
        <v>175696.67</v>
      </c>
      <c r="G5">
        <v>163648.17000000001</v>
      </c>
      <c r="H5">
        <v>673858.18</v>
      </c>
      <c r="I5">
        <v>174249.1</v>
      </c>
      <c r="J5">
        <v>3</v>
      </c>
      <c r="K5">
        <v>3</v>
      </c>
      <c r="L5" t="s">
        <v>112</v>
      </c>
      <c r="M5" t="s">
        <v>611</v>
      </c>
      <c r="N5" t="s">
        <v>612</v>
      </c>
    </row>
    <row r="6" spans="1:14" x14ac:dyDescent="0.25">
      <c r="A6" t="s">
        <v>39</v>
      </c>
      <c r="B6" t="s">
        <v>40</v>
      </c>
      <c r="C6" t="s">
        <v>16</v>
      </c>
      <c r="D6" s="13">
        <v>45296</v>
      </c>
      <c r="E6" t="s">
        <v>18</v>
      </c>
      <c r="F6">
        <v>109537.60000000001</v>
      </c>
      <c r="G6">
        <v>117300.04</v>
      </c>
      <c r="H6">
        <v>332070.5</v>
      </c>
      <c r="I6">
        <v>109714.81</v>
      </c>
      <c r="J6">
        <v>6</v>
      </c>
      <c r="K6">
        <v>6</v>
      </c>
      <c r="L6" t="s">
        <v>30</v>
      </c>
      <c r="M6" t="s">
        <v>43</v>
      </c>
      <c r="N6" t="s">
        <v>612</v>
      </c>
    </row>
    <row r="7" spans="1:14" x14ac:dyDescent="0.25">
      <c r="A7" t="s">
        <v>44</v>
      </c>
      <c r="B7" t="s">
        <v>45</v>
      </c>
      <c r="C7" t="s">
        <v>16</v>
      </c>
      <c r="D7" s="13">
        <v>45296</v>
      </c>
      <c r="E7" t="s">
        <v>18</v>
      </c>
      <c r="F7">
        <v>92727.32</v>
      </c>
      <c r="G7">
        <v>86008.17</v>
      </c>
      <c r="H7">
        <v>267249</v>
      </c>
      <c r="I7">
        <v>79020.88</v>
      </c>
      <c r="J7">
        <v>5</v>
      </c>
      <c r="K7">
        <v>2</v>
      </c>
      <c r="L7" t="s">
        <v>30</v>
      </c>
      <c r="M7" t="s">
        <v>611</v>
      </c>
      <c r="N7" t="s">
        <v>612</v>
      </c>
    </row>
    <row r="8" spans="1:14" x14ac:dyDescent="0.25">
      <c r="A8" t="s">
        <v>49</v>
      </c>
      <c r="B8" t="s">
        <v>50</v>
      </c>
      <c r="C8" t="s">
        <v>51</v>
      </c>
      <c r="D8" s="13">
        <v>45296</v>
      </c>
      <c r="E8" t="s">
        <v>18</v>
      </c>
      <c r="F8">
        <v>58658.74</v>
      </c>
      <c r="G8">
        <v>93144.86</v>
      </c>
      <c r="H8">
        <v>286520.93</v>
      </c>
      <c r="I8">
        <v>64403.07</v>
      </c>
      <c r="J8">
        <v>5</v>
      </c>
      <c r="K8">
        <v>1</v>
      </c>
      <c r="L8" t="s">
        <v>30</v>
      </c>
      <c r="M8" t="s">
        <v>611</v>
      </c>
      <c r="N8" t="s">
        <v>612</v>
      </c>
    </row>
    <row r="9" spans="1:14" x14ac:dyDescent="0.25">
      <c r="A9" t="s">
        <v>55</v>
      </c>
      <c r="B9" t="s">
        <v>56</v>
      </c>
      <c r="C9" t="s">
        <v>51</v>
      </c>
      <c r="D9" s="13">
        <v>45296</v>
      </c>
      <c r="E9" t="s">
        <v>18</v>
      </c>
      <c r="F9">
        <v>65936.679999999993</v>
      </c>
      <c r="G9">
        <v>65711.28</v>
      </c>
      <c r="H9">
        <v>317995.87</v>
      </c>
      <c r="I9">
        <v>102198.51</v>
      </c>
      <c r="J9">
        <v>3</v>
      </c>
      <c r="K9">
        <v>2</v>
      </c>
      <c r="L9" t="s">
        <v>30</v>
      </c>
      <c r="M9" t="s">
        <v>611</v>
      </c>
      <c r="N9" t="s">
        <v>612</v>
      </c>
    </row>
    <row r="10" spans="1:14" x14ac:dyDescent="0.25">
      <c r="A10" t="s">
        <v>59</v>
      </c>
      <c r="B10" t="s">
        <v>60</v>
      </c>
      <c r="C10" t="s">
        <v>51</v>
      </c>
      <c r="D10" s="13">
        <v>45296</v>
      </c>
      <c r="E10" t="s">
        <v>18</v>
      </c>
      <c r="F10">
        <v>543030</v>
      </c>
      <c r="G10">
        <v>30943.06</v>
      </c>
      <c r="H10">
        <v>2325305</v>
      </c>
      <c r="I10">
        <v>68408.929999999993</v>
      </c>
      <c r="J10">
        <v>3</v>
      </c>
      <c r="K10">
        <v>4</v>
      </c>
      <c r="L10" t="s">
        <v>30</v>
      </c>
      <c r="M10" t="s">
        <v>26</v>
      </c>
      <c r="N10" t="s">
        <v>612</v>
      </c>
    </row>
    <row r="11" spans="1:14" x14ac:dyDescent="0.25">
      <c r="A11" t="s">
        <v>62</v>
      </c>
      <c r="B11" t="s">
        <v>63</v>
      </c>
      <c r="C11" t="s">
        <v>51</v>
      </c>
      <c r="D11" s="13">
        <v>45296</v>
      </c>
      <c r="E11" t="s">
        <v>18</v>
      </c>
      <c r="F11">
        <v>81578.12</v>
      </c>
      <c r="G11">
        <v>71075.53</v>
      </c>
      <c r="H11">
        <v>260739.44</v>
      </c>
      <c r="I11">
        <v>70835.02</v>
      </c>
      <c r="J11">
        <v>6</v>
      </c>
      <c r="K11">
        <v>4</v>
      </c>
      <c r="L11" t="s">
        <v>112</v>
      </c>
      <c r="M11" t="s">
        <v>611</v>
      </c>
      <c r="N11" t="s">
        <v>612</v>
      </c>
    </row>
    <row r="12" spans="1:14" x14ac:dyDescent="0.25">
      <c r="A12" t="s">
        <v>66</v>
      </c>
      <c r="B12" t="s">
        <v>67</v>
      </c>
      <c r="C12" t="s">
        <v>51</v>
      </c>
      <c r="D12" s="13">
        <v>45296</v>
      </c>
      <c r="E12" t="s">
        <v>18</v>
      </c>
      <c r="F12">
        <v>81830.2</v>
      </c>
      <c r="G12">
        <v>70885.53</v>
      </c>
      <c r="H12">
        <v>216975.38</v>
      </c>
      <c r="I12">
        <v>68586.080000000002</v>
      </c>
      <c r="J12">
        <v>1</v>
      </c>
      <c r="K12">
        <v>2</v>
      </c>
      <c r="L12" t="s">
        <v>30</v>
      </c>
      <c r="M12" t="s">
        <v>611</v>
      </c>
      <c r="N12" t="s">
        <v>612</v>
      </c>
    </row>
    <row r="13" spans="1:14" x14ac:dyDescent="0.25">
      <c r="A13" t="s">
        <v>68</v>
      </c>
      <c r="B13" t="s">
        <v>69</v>
      </c>
      <c r="C13" t="s">
        <v>51</v>
      </c>
      <c r="D13" s="13">
        <v>45296</v>
      </c>
      <c r="E13" t="s">
        <v>18</v>
      </c>
      <c r="F13">
        <v>69128.69</v>
      </c>
      <c r="G13">
        <v>69970.429999999993</v>
      </c>
      <c r="H13">
        <v>340285.35</v>
      </c>
      <c r="I13">
        <v>110347.15</v>
      </c>
      <c r="J13">
        <v>2</v>
      </c>
      <c r="K13">
        <v>1</v>
      </c>
      <c r="L13" t="s">
        <v>30</v>
      </c>
      <c r="M13" t="s">
        <v>73</v>
      </c>
      <c r="N13" t="s">
        <v>612</v>
      </c>
    </row>
    <row r="14" spans="1:14" x14ac:dyDescent="0.25">
      <c r="A14" t="s">
        <v>74</v>
      </c>
      <c r="B14" t="s">
        <v>75</v>
      </c>
      <c r="C14" t="s">
        <v>51</v>
      </c>
      <c r="D14" s="13">
        <v>45296</v>
      </c>
      <c r="E14" t="s">
        <v>18</v>
      </c>
      <c r="F14">
        <v>87439.06</v>
      </c>
      <c r="G14">
        <v>100434.85</v>
      </c>
      <c r="H14">
        <v>252435.87</v>
      </c>
      <c r="I14">
        <v>87009.74</v>
      </c>
      <c r="J14">
        <v>5</v>
      </c>
      <c r="K14">
        <v>8</v>
      </c>
      <c r="L14" t="s">
        <v>30</v>
      </c>
      <c r="M14" t="s">
        <v>26</v>
      </c>
      <c r="N14" t="s">
        <v>612</v>
      </c>
    </row>
    <row r="15" spans="1:14" x14ac:dyDescent="0.25">
      <c r="A15" t="s">
        <v>78</v>
      </c>
      <c r="B15" t="s">
        <v>79</v>
      </c>
      <c r="C15" t="s">
        <v>137</v>
      </c>
      <c r="D15" s="13">
        <v>45296</v>
      </c>
      <c r="E15" t="s">
        <v>18</v>
      </c>
      <c r="F15">
        <v>9850.08</v>
      </c>
      <c r="G15">
        <v>7722.27</v>
      </c>
      <c r="H15">
        <v>30417.13</v>
      </c>
      <c r="I15">
        <v>10078.68</v>
      </c>
      <c r="J15">
        <v>5</v>
      </c>
      <c r="K15">
        <v>15</v>
      </c>
      <c r="L15" t="s">
        <v>30</v>
      </c>
      <c r="M15" t="s">
        <v>611</v>
      </c>
      <c r="N15" t="s">
        <v>612</v>
      </c>
    </row>
    <row r="16" spans="1:14" x14ac:dyDescent="0.25">
      <c r="A16" t="s">
        <v>82</v>
      </c>
      <c r="B16" t="s">
        <v>83</v>
      </c>
      <c r="C16" t="s">
        <v>137</v>
      </c>
      <c r="D16" s="13">
        <v>45296</v>
      </c>
      <c r="E16" t="s">
        <v>18</v>
      </c>
      <c r="F16">
        <v>24852.66</v>
      </c>
      <c r="G16">
        <v>12914.1</v>
      </c>
      <c r="H16">
        <v>4330.13</v>
      </c>
      <c r="I16">
        <v>1193.8499999999999</v>
      </c>
      <c r="J16">
        <v>3</v>
      </c>
      <c r="K16">
        <v>14</v>
      </c>
      <c r="L16" t="s">
        <v>30</v>
      </c>
      <c r="M16" t="s">
        <v>611</v>
      </c>
      <c r="N16" t="s">
        <v>613</v>
      </c>
    </row>
    <row r="17" spans="1:14" x14ac:dyDescent="0.25">
      <c r="A17" t="s">
        <v>84</v>
      </c>
      <c r="B17" t="s">
        <v>85</v>
      </c>
      <c r="C17" t="s">
        <v>137</v>
      </c>
      <c r="D17" s="13">
        <v>45296</v>
      </c>
      <c r="E17" t="s">
        <v>18</v>
      </c>
      <c r="F17">
        <v>24515.3</v>
      </c>
      <c r="G17">
        <v>30487.63</v>
      </c>
      <c r="H17">
        <v>93706.1</v>
      </c>
      <c r="I17">
        <v>25701.93</v>
      </c>
      <c r="J17">
        <v>12</v>
      </c>
      <c r="K17">
        <v>12</v>
      </c>
      <c r="L17" t="s">
        <v>30</v>
      </c>
      <c r="M17" t="s">
        <v>31</v>
      </c>
      <c r="N17" t="s">
        <v>612</v>
      </c>
    </row>
    <row r="18" spans="1:14" x14ac:dyDescent="0.25">
      <c r="A18" t="s">
        <v>87</v>
      </c>
      <c r="B18" t="s">
        <v>88</v>
      </c>
      <c r="C18" t="s">
        <v>137</v>
      </c>
      <c r="D18" s="13">
        <v>45296</v>
      </c>
      <c r="E18" t="s">
        <v>18</v>
      </c>
      <c r="F18">
        <v>14780.27</v>
      </c>
      <c r="G18">
        <v>17796.63</v>
      </c>
      <c r="H18">
        <v>40361.18</v>
      </c>
      <c r="I18">
        <v>9163.43</v>
      </c>
      <c r="J18">
        <v>2</v>
      </c>
      <c r="K18">
        <v>2</v>
      </c>
      <c r="L18" t="s">
        <v>30</v>
      </c>
      <c r="M18" t="s">
        <v>43</v>
      </c>
      <c r="N18" t="s">
        <v>612</v>
      </c>
    </row>
    <row r="19" spans="1:14" x14ac:dyDescent="0.25">
      <c r="A19" t="s">
        <v>90</v>
      </c>
      <c r="B19" t="s">
        <v>91</v>
      </c>
      <c r="C19" t="s">
        <v>137</v>
      </c>
      <c r="D19" s="13">
        <v>45296</v>
      </c>
      <c r="E19" t="s">
        <v>18</v>
      </c>
      <c r="F19">
        <v>30534.07</v>
      </c>
      <c r="G19">
        <v>31793.74</v>
      </c>
      <c r="H19">
        <v>3753.56</v>
      </c>
      <c r="I19">
        <v>1271.05</v>
      </c>
      <c r="J19">
        <v>2</v>
      </c>
      <c r="K19">
        <v>4</v>
      </c>
      <c r="L19" t="s">
        <v>112</v>
      </c>
      <c r="M19" t="s">
        <v>43</v>
      </c>
      <c r="N19" t="s">
        <v>613</v>
      </c>
    </row>
    <row r="20" spans="1:14" x14ac:dyDescent="0.25">
      <c r="A20" t="s">
        <v>93</v>
      </c>
      <c r="B20" t="s">
        <v>94</v>
      </c>
      <c r="C20" t="s">
        <v>137</v>
      </c>
      <c r="D20" s="13">
        <v>45296</v>
      </c>
      <c r="E20" t="s">
        <v>18</v>
      </c>
      <c r="F20">
        <v>19860.669999999998</v>
      </c>
      <c r="G20">
        <v>9686</v>
      </c>
      <c r="H20">
        <v>50882.36</v>
      </c>
      <c r="I20">
        <v>12032.23</v>
      </c>
      <c r="J20">
        <v>8</v>
      </c>
      <c r="K20">
        <v>8</v>
      </c>
      <c r="L20" t="s">
        <v>30</v>
      </c>
      <c r="M20" t="s">
        <v>611</v>
      </c>
      <c r="N20" t="s">
        <v>612</v>
      </c>
    </row>
    <row r="21" spans="1:14" x14ac:dyDescent="0.25">
      <c r="A21" t="s">
        <v>96</v>
      </c>
      <c r="B21" t="s">
        <v>97</v>
      </c>
      <c r="C21" t="s">
        <v>137</v>
      </c>
      <c r="D21" s="13">
        <v>45296</v>
      </c>
      <c r="E21" t="s">
        <v>18</v>
      </c>
      <c r="F21">
        <v>29474.33</v>
      </c>
      <c r="G21">
        <v>25459.86</v>
      </c>
      <c r="H21">
        <v>122320</v>
      </c>
      <c r="I21">
        <v>27811.19</v>
      </c>
      <c r="J21">
        <v>3</v>
      </c>
      <c r="K21">
        <v>2</v>
      </c>
      <c r="L21" t="s">
        <v>112</v>
      </c>
      <c r="M21" t="s">
        <v>611</v>
      </c>
      <c r="N21" t="s">
        <v>612</v>
      </c>
    </row>
    <row r="22" spans="1:14" x14ac:dyDescent="0.25">
      <c r="A22" t="s">
        <v>14</v>
      </c>
      <c r="B22" t="s">
        <v>15</v>
      </c>
      <c r="C22" t="s">
        <v>16</v>
      </c>
      <c r="D22" s="13">
        <v>45303</v>
      </c>
      <c r="E22" t="s">
        <v>18</v>
      </c>
      <c r="F22">
        <v>117165.29</v>
      </c>
      <c r="G22">
        <v>109824.23</v>
      </c>
      <c r="H22">
        <v>394169.55</v>
      </c>
      <c r="I22">
        <v>100192.76</v>
      </c>
      <c r="J22">
        <v>5</v>
      </c>
      <c r="K22">
        <v>7</v>
      </c>
      <c r="L22" t="s">
        <v>30</v>
      </c>
      <c r="M22" t="s">
        <v>101</v>
      </c>
      <c r="N22" t="s">
        <v>612</v>
      </c>
    </row>
    <row r="23" spans="1:14" x14ac:dyDescent="0.25">
      <c r="A23" t="s">
        <v>21</v>
      </c>
      <c r="B23" t="s">
        <v>22</v>
      </c>
      <c r="C23" t="s">
        <v>16</v>
      </c>
      <c r="D23" s="13">
        <v>45303</v>
      </c>
      <c r="E23" t="s">
        <v>18</v>
      </c>
      <c r="F23">
        <v>68871.990000000005</v>
      </c>
      <c r="G23">
        <v>111983.87</v>
      </c>
      <c r="H23">
        <v>296107.25</v>
      </c>
      <c r="I23">
        <v>68868.149999999994</v>
      </c>
      <c r="J23">
        <v>4</v>
      </c>
      <c r="K23">
        <v>2</v>
      </c>
      <c r="L23" t="s">
        <v>30</v>
      </c>
      <c r="M23" t="s">
        <v>73</v>
      </c>
      <c r="N23" t="s">
        <v>612</v>
      </c>
    </row>
    <row r="24" spans="1:14" x14ac:dyDescent="0.25">
      <c r="A24" t="s">
        <v>27</v>
      </c>
      <c r="B24" t="s">
        <v>28</v>
      </c>
      <c r="C24" t="s">
        <v>16</v>
      </c>
      <c r="D24" s="13">
        <v>45303</v>
      </c>
      <c r="E24" t="s">
        <v>18</v>
      </c>
      <c r="F24">
        <v>196721.52</v>
      </c>
      <c r="G24">
        <v>190548.4</v>
      </c>
      <c r="H24">
        <v>703224.44</v>
      </c>
      <c r="I24">
        <v>204849.25</v>
      </c>
      <c r="J24">
        <v>4</v>
      </c>
      <c r="K24">
        <v>4</v>
      </c>
      <c r="L24" t="s">
        <v>30</v>
      </c>
      <c r="M24" t="s">
        <v>105</v>
      </c>
      <c r="N24" t="s">
        <v>612</v>
      </c>
    </row>
    <row r="25" spans="1:14" x14ac:dyDescent="0.25">
      <c r="A25" t="s">
        <v>32</v>
      </c>
      <c r="B25" t="s">
        <v>33</v>
      </c>
      <c r="C25" t="s">
        <v>16</v>
      </c>
      <c r="D25" s="13">
        <v>45303</v>
      </c>
      <c r="E25" t="s">
        <v>18</v>
      </c>
      <c r="F25">
        <v>111449.69</v>
      </c>
      <c r="G25">
        <v>106084.59</v>
      </c>
      <c r="H25">
        <v>291500</v>
      </c>
      <c r="I25">
        <v>82761.820000000007</v>
      </c>
      <c r="J25">
        <v>1</v>
      </c>
      <c r="K25">
        <v>1</v>
      </c>
      <c r="L25" t="s">
        <v>30</v>
      </c>
      <c r="M25" t="s">
        <v>611</v>
      </c>
      <c r="N25" t="s">
        <v>612</v>
      </c>
    </row>
    <row r="26" spans="1:14" x14ac:dyDescent="0.25">
      <c r="A26" t="s">
        <v>39</v>
      </c>
      <c r="B26" t="s">
        <v>40</v>
      </c>
      <c r="C26" t="s">
        <v>16</v>
      </c>
      <c r="D26" s="13">
        <v>45303</v>
      </c>
      <c r="E26" t="s">
        <v>18</v>
      </c>
      <c r="F26">
        <v>192575.38</v>
      </c>
      <c r="G26">
        <v>198611.83</v>
      </c>
      <c r="H26">
        <v>505615.51</v>
      </c>
      <c r="I26">
        <v>163929.23000000001</v>
      </c>
      <c r="J26">
        <v>4</v>
      </c>
      <c r="K26">
        <v>8</v>
      </c>
      <c r="L26" t="s">
        <v>30</v>
      </c>
      <c r="M26" t="s">
        <v>611</v>
      </c>
      <c r="N26" t="s">
        <v>612</v>
      </c>
    </row>
    <row r="27" spans="1:14" x14ac:dyDescent="0.25">
      <c r="A27" t="s">
        <v>44</v>
      </c>
      <c r="B27" t="s">
        <v>45</v>
      </c>
      <c r="C27" t="s">
        <v>16</v>
      </c>
      <c r="D27" s="13">
        <v>45303</v>
      </c>
      <c r="E27" t="s">
        <v>18</v>
      </c>
      <c r="F27">
        <v>184111.76</v>
      </c>
      <c r="G27">
        <v>183365.72</v>
      </c>
      <c r="H27">
        <v>806306.78</v>
      </c>
      <c r="I27">
        <v>183146.88</v>
      </c>
      <c r="J27">
        <v>5</v>
      </c>
      <c r="K27">
        <v>5</v>
      </c>
      <c r="L27" t="s">
        <v>30</v>
      </c>
      <c r="M27" t="s">
        <v>43</v>
      </c>
      <c r="N27" t="s">
        <v>612</v>
      </c>
    </row>
    <row r="28" spans="1:14" x14ac:dyDescent="0.25">
      <c r="A28" t="s">
        <v>49</v>
      </c>
      <c r="B28" t="s">
        <v>50</v>
      </c>
      <c r="C28" t="s">
        <v>51</v>
      </c>
      <c r="D28" s="13">
        <v>45303</v>
      </c>
      <c r="E28" t="s">
        <v>18</v>
      </c>
      <c r="F28">
        <v>56849.47</v>
      </c>
      <c r="G28">
        <v>90344.27</v>
      </c>
      <c r="H28">
        <v>201215.05</v>
      </c>
      <c r="I28">
        <v>50590.37</v>
      </c>
      <c r="J28">
        <v>5</v>
      </c>
      <c r="K28">
        <v>8</v>
      </c>
      <c r="L28" t="s">
        <v>112</v>
      </c>
      <c r="M28" t="s">
        <v>611</v>
      </c>
      <c r="N28" t="s">
        <v>612</v>
      </c>
    </row>
    <row r="29" spans="1:14" x14ac:dyDescent="0.25">
      <c r="A29" t="s">
        <v>55</v>
      </c>
      <c r="B29" t="s">
        <v>56</v>
      </c>
      <c r="C29" t="s">
        <v>51</v>
      </c>
      <c r="D29" s="13">
        <v>45303</v>
      </c>
      <c r="E29" t="s">
        <v>18</v>
      </c>
      <c r="F29">
        <v>74078.039999999994</v>
      </c>
      <c r="G29">
        <v>80742.14</v>
      </c>
      <c r="H29">
        <v>275612.82</v>
      </c>
      <c r="I29">
        <v>72364.66</v>
      </c>
      <c r="J29">
        <v>4</v>
      </c>
      <c r="K29">
        <v>4</v>
      </c>
      <c r="L29" t="s">
        <v>30</v>
      </c>
      <c r="M29" t="s">
        <v>113</v>
      </c>
      <c r="N29" t="s">
        <v>612</v>
      </c>
    </row>
    <row r="30" spans="1:14" x14ac:dyDescent="0.25">
      <c r="A30" t="s">
        <v>59</v>
      </c>
      <c r="B30" t="s">
        <v>60</v>
      </c>
      <c r="C30" t="s">
        <v>51</v>
      </c>
      <c r="D30" s="13">
        <v>45303</v>
      </c>
      <c r="E30" t="s">
        <v>18</v>
      </c>
      <c r="F30">
        <v>73444.33</v>
      </c>
      <c r="G30">
        <v>38100.26</v>
      </c>
      <c r="H30">
        <v>222473.95</v>
      </c>
      <c r="I30">
        <v>68835.45</v>
      </c>
      <c r="J30">
        <v>4</v>
      </c>
      <c r="K30">
        <v>6</v>
      </c>
      <c r="L30" t="s">
        <v>30</v>
      </c>
      <c r="M30" t="s">
        <v>115</v>
      </c>
      <c r="N30" t="s">
        <v>612</v>
      </c>
    </row>
    <row r="31" spans="1:14" x14ac:dyDescent="0.25">
      <c r="A31" t="s">
        <v>62</v>
      </c>
      <c r="B31" t="s">
        <v>63</v>
      </c>
      <c r="C31" t="s">
        <v>51</v>
      </c>
      <c r="D31" s="13">
        <v>45303</v>
      </c>
      <c r="E31" t="s">
        <v>18</v>
      </c>
      <c r="F31">
        <v>86976.7</v>
      </c>
      <c r="G31">
        <v>79132.12</v>
      </c>
      <c r="H31">
        <v>352546.08</v>
      </c>
      <c r="I31">
        <v>91840.15</v>
      </c>
      <c r="J31">
        <v>1</v>
      </c>
      <c r="K31">
        <v>1</v>
      </c>
      <c r="L31" t="s">
        <v>30</v>
      </c>
      <c r="M31" t="s">
        <v>73</v>
      </c>
      <c r="N31" t="s">
        <v>612</v>
      </c>
    </row>
    <row r="32" spans="1:14" x14ac:dyDescent="0.25">
      <c r="A32" t="s">
        <v>74</v>
      </c>
      <c r="B32" t="s">
        <v>75</v>
      </c>
      <c r="C32" t="s">
        <v>51</v>
      </c>
      <c r="D32" s="13">
        <v>45303</v>
      </c>
      <c r="E32" t="s">
        <v>18</v>
      </c>
      <c r="F32">
        <v>70640.84</v>
      </c>
      <c r="G32">
        <v>80350.55</v>
      </c>
      <c r="H32">
        <v>342867.77</v>
      </c>
      <c r="I32">
        <v>96228.12</v>
      </c>
      <c r="J32">
        <v>6</v>
      </c>
      <c r="K32">
        <v>7</v>
      </c>
      <c r="L32" t="s">
        <v>30</v>
      </c>
      <c r="M32" t="s">
        <v>611</v>
      </c>
      <c r="N32" t="s">
        <v>612</v>
      </c>
    </row>
    <row r="33" spans="1:14" x14ac:dyDescent="0.25">
      <c r="A33" t="s">
        <v>82</v>
      </c>
      <c r="B33" t="s">
        <v>83</v>
      </c>
      <c r="C33" t="s">
        <v>137</v>
      </c>
      <c r="D33" s="13">
        <v>45303</v>
      </c>
      <c r="E33" t="s">
        <v>18</v>
      </c>
      <c r="F33">
        <v>28375.200000000001</v>
      </c>
      <c r="G33">
        <v>16264.33</v>
      </c>
      <c r="H33">
        <v>121113.07</v>
      </c>
      <c r="I33">
        <v>36908.629999999997</v>
      </c>
      <c r="J33">
        <v>12</v>
      </c>
      <c r="K33">
        <v>9</v>
      </c>
      <c r="L33" t="s">
        <v>30</v>
      </c>
      <c r="M33" t="s">
        <v>31</v>
      </c>
      <c r="N33" t="s">
        <v>612</v>
      </c>
    </row>
    <row r="34" spans="1:14" x14ac:dyDescent="0.25">
      <c r="A34" t="s">
        <v>84</v>
      </c>
      <c r="B34" t="s">
        <v>85</v>
      </c>
      <c r="C34" t="s">
        <v>137</v>
      </c>
      <c r="D34" s="13">
        <v>45303</v>
      </c>
      <c r="E34" t="s">
        <v>18</v>
      </c>
      <c r="F34">
        <v>14584.31</v>
      </c>
      <c r="G34">
        <v>14326.96</v>
      </c>
      <c r="H34">
        <v>610823</v>
      </c>
      <c r="I34">
        <v>16059.35</v>
      </c>
      <c r="J34">
        <v>7</v>
      </c>
      <c r="K34">
        <v>11</v>
      </c>
      <c r="L34" t="s">
        <v>30</v>
      </c>
      <c r="M34" t="s">
        <v>611</v>
      </c>
      <c r="N34" t="s">
        <v>612</v>
      </c>
    </row>
    <row r="35" spans="1:14" x14ac:dyDescent="0.25">
      <c r="A35" t="s">
        <v>87</v>
      </c>
      <c r="B35" t="s">
        <v>88</v>
      </c>
      <c r="C35" t="s">
        <v>137</v>
      </c>
      <c r="D35" s="13">
        <v>45303</v>
      </c>
      <c r="E35" t="s">
        <v>18</v>
      </c>
      <c r="F35">
        <v>28470.45</v>
      </c>
      <c r="G35">
        <v>31183.81</v>
      </c>
      <c r="H35">
        <v>121842.29</v>
      </c>
      <c r="I35">
        <v>22288.78</v>
      </c>
      <c r="J35">
        <v>6</v>
      </c>
      <c r="K35">
        <v>12</v>
      </c>
      <c r="L35" t="s">
        <v>30</v>
      </c>
      <c r="M35" t="s">
        <v>611</v>
      </c>
      <c r="N35" t="s">
        <v>612</v>
      </c>
    </row>
    <row r="36" spans="1:14" x14ac:dyDescent="0.25">
      <c r="A36" t="s">
        <v>90</v>
      </c>
      <c r="B36" t="s">
        <v>91</v>
      </c>
      <c r="C36" t="s">
        <v>137</v>
      </c>
      <c r="D36" s="13">
        <v>45303</v>
      </c>
      <c r="E36" t="s">
        <v>18</v>
      </c>
      <c r="F36">
        <v>14787.9</v>
      </c>
      <c r="G36">
        <v>11983.05</v>
      </c>
      <c r="H36">
        <v>48635.48</v>
      </c>
      <c r="I36">
        <v>16616.27</v>
      </c>
      <c r="J36">
        <v>4</v>
      </c>
      <c r="K36">
        <v>5</v>
      </c>
      <c r="L36" t="s">
        <v>30</v>
      </c>
      <c r="M36" t="s">
        <v>31</v>
      </c>
      <c r="N36" t="s">
        <v>612</v>
      </c>
    </row>
    <row r="37" spans="1:14" x14ac:dyDescent="0.25">
      <c r="A37" t="s">
        <v>96</v>
      </c>
      <c r="B37" t="s">
        <v>97</v>
      </c>
      <c r="C37" t="s">
        <v>137</v>
      </c>
      <c r="D37" s="13">
        <v>45303</v>
      </c>
      <c r="E37" t="s">
        <v>18</v>
      </c>
      <c r="F37">
        <v>15887.69</v>
      </c>
      <c r="G37">
        <v>19415.47</v>
      </c>
      <c r="H37">
        <v>74213.83</v>
      </c>
      <c r="I37">
        <v>24369.03</v>
      </c>
      <c r="J37">
        <v>11</v>
      </c>
      <c r="K37">
        <v>12</v>
      </c>
      <c r="L37" t="s">
        <v>30</v>
      </c>
      <c r="M37" t="s">
        <v>611</v>
      </c>
      <c r="N37" t="s">
        <v>612</v>
      </c>
    </row>
    <row r="38" spans="1:14" x14ac:dyDescent="0.25">
      <c r="A38" t="s">
        <v>14</v>
      </c>
      <c r="B38" t="s">
        <v>15</v>
      </c>
      <c r="C38" t="s">
        <v>16</v>
      </c>
      <c r="D38" s="13">
        <v>45310</v>
      </c>
      <c r="E38" t="s">
        <v>18</v>
      </c>
      <c r="F38">
        <v>168122.4</v>
      </c>
      <c r="G38">
        <v>156114.67000000001</v>
      </c>
      <c r="H38">
        <v>761233.88</v>
      </c>
      <c r="I38">
        <v>148045.34</v>
      </c>
      <c r="J38">
        <v>2</v>
      </c>
      <c r="K38">
        <v>3</v>
      </c>
      <c r="L38" t="s">
        <v>30</v>
      </c>
      <c r="M38" t="s">
        <v>611</v>
      </c>
      <c r="N38" t="s">
        <v>612</v>
      </c>
    </row>
    <row r="39" spans="1:14" x14ac:dyDescent="0.25">
      <c r="A39" t="s">
        <v>21</v>
      </c>
      <c r="B39" t="s">
        <v>22</v>
      </c>
      <c r="C39" t="s">
        <v>16</v>
      </c>
      <c r="D39" s="13">
        <v>45310</v>
      </c>
      <c r="E39" t="s">
        <v>18</v>
      </c>
      <c r="F39">
        <v>116610.42</v>
      </c>
      <c r="G39">
        <v>203571.6</v>
      </c>
      <c r="H39">
        <v>368677.28</v>
      </c>
      <c r="I39">
        <v>81395.490000000005</v>
      </c>
      <c r="J39">
        <v>5</v>
      </c>
      <c r="K39">
        <v>4</v>
      </c>
      <c r="L39" t="s">
        <v>30</v>
      </c>
      <c r="M39" t="s">
        <v>611</v>
      </c>
      <c r="N39" t="s">
        <v>612</v>
      </c>
    </row>
    <row r="40" spans="1:14" x14ac:dyDescent="0.25">
      <c r="A40" t="s">
        <v>27</v>
      </c>
      <c r="B40" t="s">
        <v>28</v>
      </c>
      <c r="C40" t="s">
        <v>16</v>
      </c>
      <c r="D40" s="13">
        <v>45310</v>
      </c>
      <c r="E40" t="s">
        <v>18</v>
      </c>
      <c r="F40">
        <v>112679.33</v>
      </c>
      <c r="G40">
        <v>108434.56</v>
      </c>
      <c r="H40">
        <v>401459.27</v>
      </c>
      <c r="I40">
        <v>116462.49</v>
      </c>
      <c r="J40">
        <v>3</v>
      </c>
      <c r="K40">
        <v>4</v>
      </c>
      <c r="L40" t="s">
        <v>30</v>
      </c>
      <c r="M40" t="s">
        <v>73</v>
      </c>
      <c r="N40" t="s">
        <v>612</v>
      </c>
    </row>
    <row r="41" spans="1:14" x14ac:dyDescent="0.25">
      <c r="A41" t="s">
        <v>32</v>
      </c>
      <c r="B41" t="s">
        <v>33</v>
      </c>
      <c r="C41" t="s">
        <v>16</v>
      </c>
      <c r="D41" s="13">
        <v>45310</v>
      </c>
      <c r="E41" t="s">
        <v>18</v>
      </c>
      <c r="F41">
        <v>211974.67</v>
      </c>
      <c r="G41">
        <v>211990.69</v>
      </c>
      <c r="H41">
        <v>7619241</v>
      </c>
      <c r="I41">
        <v>252349.73</v>
      </c>
      <c r="J41">
        <v>6</v>
      </c>
      <c r="K41">
        <v>8</v>
      </c>
      <c r="L41" t="s">
        <v>30</v>
      </c>
      <c r="M41" t="s">
        <v>115</v>
      </c>
      <c r="N41" t="s">
        <v>612</v>
      </c>
    </row>
    <row r="42" spans="1:14" x14ac:dyDescent="0.25">
      <c r="A42" t="s">
        <v>39</v>
      </c>
      <c r="B42" t="s">
        <v>40</v>
      </c>
      <c r="C42" t="s">
        <v>16</v>
      </c>
      <c r="D42" s="13">
        <v>45310</v>
      </c>
      <c r="E42" t="s">
        <v>18</v>
      </c>
      <c r="F42">
        <v>104526.7</v>
      </c>
      <c r="G42">
        <v>104843.86</v>
      </c>
      <c r="H42">
        <v>500701.92</v>
      </c>
      <c r="I42">
        <v>139949.21</v>
      </c>
      <c r="J42">
        <v>6</v>
      </c>
      <c r="K42">
        <v>8</v>
      </c>
      <c r="L42" t="s">
        <v>30</v>
      </c>
      <c r="M42" t="s">
        <v>73</v>
      </c>
      <c r="N42" t="s">
        <v>612</v>
      </c>
    </row>
    <row r="43" spans="1:14" x14ac:dyDescent="0.25">
      <c r="A43" t="s">
        <v>44</v>
      </c>
      <c r="B43" t="s">
        <v>45</v>
      </c>
      <c r="C43" t="s">
        <v>16</v>
      </c>
      <c r="D43" s="13">
        <v>45310</v>
      </c>
      <c r="E43" t="s">
        <v>18</v>
      </c>
      <c r="F43">
        <v>136063.32</v>
      </c>
      <c r="G43">
        <v>141734.43</v>
      </c>
      <c r="H43">
        <v>494871.09</v>
      </c>
      <c r="I43">
        <v>116273.2</v>
      </c>
      <c r="J43">
        <v>4</v>
      </c>
      <c r="K43">
        <v>1</v>
      </c>
      <c r="L43" t="s">
        <v>30</v>
      </c>
      <c r="M43" t="s">
        <v>115</v>
      </c>
      <c r="N43" t="s">
        <v>612</v>
      </c>
    </row>
    <row r="44" spans="1:14" x14ac:dyDescent="0.25">
      <c r="A44" t="s">
        <v>49</v>
      </c>
      <c r="B44" t="s">
        <v>50</v>
      </c>
      <c r="C44" t="s">
        <v>51</v>
      </c>
      <c r="D44" s="13">
        <v>45310</v>
      </c>
      <c r="E44" t="s">
        <v>18</v>
      </c>
      <c r="F44">
        <v>47604.46</v>
      </c>
      <c r="G44">
        <v>82137.37</v>
      </c>
      <c r="H44">
        <v>122446.94</v>
      </c>
      <c r="I44">
        <v>38678.949999999997</v>
      </c>
      <c r="J44">
        <v>6</v>
      </c>
      <c r="K44">
        <v>2</v>
      </c>
      <c r="L44" t="s">
        <v>30</v>
      </c>
      <c r="M44" t="s">
        <v>43</v>
      </c>
      <c r="N44" t="s">
        <v>612</v>
      </c>
    </row>
    <row r="45" spans="1:14" x14ac:dyDescent="0.25">
      <c r="A45" t="s">
        <v>55</v>
      </c>
      <c r="B45" t="s">
        <v>56</v>
      </c>
      <c r="C45" t="s">
        <v>51</v>
      </c>
      <c r="D45" s="13">
        <v>45310</v>
      </c>
      <c r="E45" t="s">
        <v>18</v>
      </c>
      <c r="F45">
        <v>72996.2</v>
      </c>
      <c r="G45">
        <v>73190.490000000005</v>
      </c>
      <c r="H45">
        <v>258313.54</v>
      </c>
      <c r="I45">
        <v>67233.17</v>
      </c>
      <c r="J45">
        <v>4</v>
      </c>
      <c r="K45">
        <v>5</v>
      </c>
      <c r="L45" t="s">
        <v>30</v>
      </c>
      <c r="M45" t="s">
        <v>113</v>
      </c>
      <c r="N45" t="s">
        <v>612</v>
      </c>
    </row>
    <row r="46" spans="1:14" x14ac:dyDescent="0.25">
      <c r="A46" t="s">
        <v>59</v>
      </c>
      <c r="B46" t="s">
        <v>60</v>
      </c>
      <c r="C46" t="s">
        <v>51</v>
      </c>
      <c r="D46" s="13">
        <v>45310</v>
      </c>
      <c r="E46" t="s">
        <v>18</v>
      </c>
      <c r="F46">
        <v>67073.429999999993</v>
      </c>
      <c r="G46">
        <v>34193.519999999997</v>
      </c>
      <c r="H46">
        <v>242562</v>
      </c>
      <c r="I46">
        <v>57369.56</v>
      </c>
      <c r="J46">
        <v>5</v>
      </c>
      <c r="K46">
        <v>3</v>
      </c>
      <c r="L46" t="s">
        <v>30</v>
      </c>
      <c r="M46" t="s">
        <v>611</v>
      </c>
      <c r="N46" t="s">
        <v>612</v>
      </c>
    </row>
    <row r="47" spans="1:14" x14ac:dyDescent="0.25">
      <c r="A47" t="s">
        <v>62</v>
      </c>
      <c r="B47" t="s">
        <v>63</v>
      </c>
      <c r="C47" t="s">
        <v>51</v>
      </c>
      <c r="D47" s="13">
        <v>45310</v>
      </c>
      <c r="E47" t="s">
        <v>18</v>
      </c>
      <c r="F47">
        <v>69821.33</v>
      </c>
      <c r="G47">
        <v>76539.839999999997</v>
      </c>
      <c r="H47">
        <v>10505.19</v>
      </c>
      <c r="I47">
        <v>2944.93</v>
      </c>
      <c r="J47">
        <v>1</v>
      </c>
      <c r="K47">
        <v>3</v>
      </c>
      <c r="L47" t="s">
        <v>30</v>
      </c>
      <c r="M47" t="s">
        <v>31</v>
      </c>
      <c r="N47" t="s">
        <v>613</v>
      </c>
    </row>
    <row r="48" spans="1:14" x14ac:dyDescent="0.25">
      <c r="A48" t="s">
        <v>66</v>
      </c>
      <c r="B48" t="s">
        <v>67</v>
      </c>
      <c r="C48" t="s">
        <v>51</v>
      </c>
      <c r="D48" s="13">
        <v>45310</v>
      </c>
      <c r="E48" t="s">
        <v>18</v>
      </c>
      <c r="F48">
        <v>71562.28</v>
      </c>
      <c r="G48">
        <v>74779.070000000007</v>
      </c>
      <c r="H48">
        <v>331394.40000000002</v>
      </c>
      <c r="I48">
        <v>81059.600000000006</v>
      </c>
      <c r="J48">
        <v>3</v>
      </c>
      <c r="K48">
        <v>6</v>
      </c>
      <c r="L48" t="s">
        <v>30</v>
      </c>
      <c r="M48" t="s">
        <v>611</v>
      </c>
      <c r="N48" t="s">
        <v>612</v>
      </c>
    </row>
    <row r="49" spans="1:14" x14ac:dyDescent="0.25">
      <c r="A49" t="s">
        <v>68</v>
      </c>
      <c r="B49" t="s">
        <v>69</v>
      </c>
      <c r="C49" t="s">
        <v>51</v>
      </c>
      <c r="D49" s="13">
        <v>45310</v>
      </c>
      <c r="E49" t="s">
        <v>18</v>
      </c>
      <c r="F49">
        <v>75622.179999999993</v>
      </c>
      <c r="G49">
        <v>80247.78</v>
      </c>
      <c r="H49">
        <v>272935.3</v>
      </c>
      <c r="I49">
        <v>91046.33</v>
      </c>
      <c r="J49">
        <v>1</v>
      </c>
      <c r="K49">
        <v>2</v>
      </c>
      <c r="L49" t="s">
        <v>30</v>
      </c>
      <c r="M49" t="s">
        <v>125</v>
      </c>
      <c r="N49" t="s">
        <v>612</v>
      </c>
    </row>
    <row r="50" spans="1:14" x14ac:dyDescent="0.25">
      <c r="A50" t="s">
        <v>74</v>
      </c>
      <c r="B50" t="s">
        <v>75</v>
      </c>
      <c r="C50" t="s">
        <v>51</v>
      </c>
      <c r="D50" s="13">
        <v>45310</v>
      </c>
      <c r="E50" t="s">
        <v>18</v>
      </c>
      <c r="F50">
        <v>82250.38</v>
      </c>
      <c r="G50">
        <v>85204.24</v>
      </c>
      <c r="H50">
        <v>307959.24</v>
      </c>
      <c r="I50">
        <v>67588.44</v>
      </c>
      <c r="J50">
        <v>6</v>
      </c>
      <c r="K50">
        <v>4</v>
      </c>
      <c r="L50" t="s">
        <v>30</v>
      </c>
      <c r="M50" t="s">
        <v>611</v>
      </c>
      <c r="N50" t="s">
        <v>612</v>
      </c>
    </row>
    <row r="51" spans="1:14" x14ac:dyDescent="0.25">
      <c r="A51" t="s">
        <v>78</v>
      </c>
      <c r="B51" t="s">
        <v>79</v>
      </c>
      <c r="C51" t="s">
        <v>137</v>
      </c>
      <c r="D51" s="13">
        <v>45310</v>
      </c>
      <c r="E51" t="s">
        <v>18</v>
      </c>
      <c r="F51">
        <v>33974.78</v>
      </c>
      <c r="G51">
        <v>37207.72</v>
      </c>
      <c r="H51">
        <v>156734.51</v>
      </c>
      <c r="I51">
        <v>38462.31</v>
      </c>
      <c r="J51">
        <v>9</v>
      </c>
      <c r="K51">
        <v>9</v>
      </c>
      <c r="L51" t="s">
        <v>30</v>
      </c>
      <c r="M51" t="s">
        <v>113</v>
      </c>
      <c r="N51" t="s">
        <v>612</v>
      </c>
    </row>
    <row r="52" spans="1:14" x14ac:dyDescent="0.25">
      <c r="A52" t="s">
        <v>82</v>
      </c>
      <c r="B52" t="s">
        <v>83</v>
      </c>
      <c r="C52" t="s">
        <v>137</v>
      </c>
      <c r="D52" s="13">
        <v>45310</v>
      </c>
      <c r="E52" t="s">
        <v>18</v>
      </c>
      <c r="F52">
        <v>34601.61</v>
      </c>
      <c r="G52">
        <v>19326.16</v>
      </c>
      <c r="H52">
        <v>158547.95000000001</v>
      </c>
      <c r="I52">
        <v>49447.29</v>
      </c>
      <c r="J52">
        <v>5</v>
      </c>
      <c r="K52">
        <v>9</v>
      </c>
      <c r="L52" t="s">
        <v>30</v>
      </c>
      <c r="M52" t="s">
        <v>127</v>
      </c>
      <c r="N52" t="s">
        <v>612</v>
      </c>
    </row>
    <row r="53" spans="1:14" x14ac:dyDescent="0.25">
      <c r="A53" t="s">
        <v>84</v>
      </c>
      <c r="B53" t="s">
        <v>85</v>
      </c>
      <c r="C53" t="s">
        <v>137</v>
      </c>
      <c r="D53" s="13">
        <v>45310</v>
      </c>
      <c r="E53" t="s">
        <v>18</v>
      </c>
      <c r="F53">
        <v>25451.200000000001</v>
      </c>
      <c r="G53">
        <v>23019.75</v>
      </c>
      <c r="H53">
        <v>65750.91</v>
      </c>
      <c r="I53">
        <v>13304.04</v>
      </c>
      <c r="J53">
        <v>6</v>
      </c>
      <c r="K53">
        <v>9</v>
      </c>
      <c r="L53" t="s">
        <v>30</v>
      </c>
      <c r="M53" t="s">
        <v>125</v>
      </c>
      <c r="N53" t="s">
        <v>612</v>
      </c>
    </row>
    <row r="54" spans="1:14" x14ac:dyDescent="0.25">
      <c r="A54" t="s">
        <v>87</v>
      </c>
      <c r="B54" t="s">
        <v>88</v>
      </c>
      <c r="C54" t="s">
        <v>137</v>
      </c>
      <c r="D54" s="13">
        <v>45310</v>
      </c>
      <c r="E54" t="s">
        <v>18</v>
      </c>
      <c r="F54">
        <v>30266.62</v>
      </c>
      <c r="G54">
        <v>29991.919999999998</v>
      </c>
      <c r="H54">
        <v>97998</v>
      </c>
      <c r="I54">
        <v>31038.17</v>
      </c>
      <c r="J54">
        <v>9</v>
      </c>
      <c r="K54">
        <v>14</v>
      </c>
      <c r="L54" t="s">
        <v>112</v>
      </c>
      <c r="M54" t="s">
        <v>611</v>
      </c>
      <c r="N54" t="s">
        <v>612</v>
      </c>
    </row>
    <row r="55" spans="1:14" x14ac:dyDescent="0.25">
      <c r="A55" t="s">
        <v>90</v>
      </c>
      <c r="B55" t="s">
        <v>91</v>
      </c>
      <c r="C55" t="s">
        <v>137</v>
      </c>
      <c r="D55" s="13">
        <v>45310</v>
      </c>
      <c r="E55" t="s">
        <v>18</v>
      </c>
      <c r="F55">
        <v>26153.200000000001</v>
      </c>
      <c r="G55">
        <v>27258.959999999999</v>
      </c>
      <c r="H55">
        <v>107133.27</v>
      </c>
      <c r="I55">
        <v>31574.560000000001</v>
      </c>
      <c r="J55">
        <v>9</v>
      </c>
      <c r="K55">
        <v>15</v>
      </c>
      <c r="L55" t="s">
        <v>30</v>
      </c>
      <c r="M55" t="s">
        <v>43</v>
      </c>
      <c r="N55" t="s">
        <v>612</v>
      </c>
    </row>
    <row r="56" spans="1:14" x14ac:dyDescent="0.25">
      <c r="A56" t="s">
        <v>14</v>
      </c>
      <c r="B56" t="s">
        <v>15</v>
      </c>
      <c r="C56" t="s">
        <v>16</v>
      </c>
      <c r="D56" s="13">
        <v>45317</v>
      </c>
      <c r="E56" t="s">
        <v>18</v>
      </c>
      <c r="F56">
        <v>96256.87</v>
      </c>
      <c r="G56">
        <v>92172.5</v>
      </c>
      <c r="H56">
        <v>334166.74</v>
      </c>
      <c r="I56">
        <v>114082.77</v>
      </c>
      <c r="J56">
        <v>6</v>
      </c>
      <c r="K56">
        <v>3</v>
      </c>
      <c r="L56" t="s">
        <v>112</v>
      </c>
      <c r="M56" t="s">
        <v>611</v>
      </c>
      <c r="N56" t="s">
        <v>612</v>
      </c>
    </row>
    <row r="57" spans="1:14" x14ac:dyDescent="0.25">
      <c r="A57" t="s">
        <v>21</v>
      </c>
      <c r="B57" t="s">
        <v>22</v>
      </c>
      <c r="C57" t="s">
        <v>16</v>
      </c>
      <c r="D57" s="13">
        <v>45317</v>
      </c>
      <c r="E57" t="s">
        <v>18</v>
      </c>
      <c r="F57">
        <v>108646.46</v>
      </c>
      <c r="G57">
        <v>191640.54</v>
      </c>
      <c r="H57">
        <v>419501</v>
      </c>
      <c r="I57">
        <v>101089.27</v>
      </c>
      <c r="J57">
        <v>4</v>
      </c>
      <c r="K57">
        <v>6</v>
      </c>
      <c r="L57" t="s">
        <v>30</v>
      </c>
      <c r="M57" t="s">
        <v>43</v>
      </c>
      <c r="N57" t="s">
        <v>612</v>
      </c>
    </row>
    <row r="58" spans="1:14" x14ac:dyDescent="0.25">
      <c r="A58" t="s">
        <v>27</v>
      </c>
      <c r="B58" t="s">
        <v>28</v>
      </c>
      <c r="C58" t="s">
        <v>16</v>
      </c>
      <c r="D58" s="13">
        <v>45317</v>
      </c>
      <c r="E58" t="s">
        <v>18</v>
      </c>
      <c r="F58">
        <v>108728.78</v>
      </c>
      <c r="G58">
        <v>114466.49</v>
      </c>
      <c r="H58">
        <v>431213.75</v>
      </c>
      <c r="I58">
        <v>94698.75</v>
      </c>
      <c r="J58">
        <v>2</v>
      </c>
      <c r="K58">
        <v>4</v>
      </c>
      <c r="L58" t="s">
        <v>30</v>
      </c>
      <c r="M58" t="s">
        <v>113</v>
      </c>
      <c r="N58" t="s">
        <v>612</v>
      </c>
    </row>
    <row r="59" spans="1:14" x14ac:dyDescent="0.25">
      <c r="A59" t="s">
        <v>32</v>
      </c>
      <c r="B59" t="s">
        <v>33</v>
      </c>
      <c r="C59" t="s">
        <v>16</v>
      </c>
      <c r="D59" s="13">
        <v>45317</v>
      </c>
      <c r="E59" t="s">
        <v>18</v>
      </c>
      <c r="F59">
        <v>130153.92</v>
      </c>
      <c r="G59">
        <v>136160.4</v>
      </c>
      <c r="H59">
        <v>330519.71999999997</v>
      </c>
      <c r="I59">
        <v>66615.899999999994</v>
      </c>
      <c r="J59">
        <v>4</v>
      </c>
      <c r="K59">
        <v>6</v>
      </c>
      <c r="L59" t="s">
        <v>30</v>
      </c>
      <c r="M59" t="s">
        <v>611</v>
      </c>
      <c r="N59" t="s">
        <v>612</v>
      </c>
    </row>
    <row r="60" spans="1:14" x14ac:dyDescent="0.25">
      <c r="A60" t="s">
        <v>39</v>
      </c>
      <c r="B60" t="s">
        <v>40</v>
      </c>
      <c r="C60" t="s">
        <v>16</v>
      </c>
      <c r="D60" s="13">
        <v>45317</v>
      </c>
      <c r="E60" t="s">
        <v>18</v>
      </c>
      <c r="F60">
        <v>170067.7</v>
      </c>
      <c r="G60">
        <v>157309.91</v>
      </c>
      <c r="H60">
        <v>785414.52</v>
      </c>
      <c r="I60">
        <v>155789.73000000001</v>
      </c>
      <c r="J60">
        <v>6</v>
      </c>
      <c r="K60">
        <v>8</v>
      </c>
      <c r="L60" t="s">
        <v>112</v>
      </c>
      <c r="M60" t="s">
        <v>611</v>
      </c>
      <c r="N60" t="s">
        <v>612</v>
      </c>
    </row>
    <row r="61" spans="1:14" x14ac:dyDescent="0.25">
      <c r="A61" t="s">
        <v>44</v>
      </c>
      <c r="B61" t="s">
        <v>45</v>
      </c>
      <c r="C61" t="s">
        <v>16</v>
      </c>
      <c r="D61" s="13">
        <v>45317</v>
      </c>
      <c r="E61" t="s">
        <v>18</v>
      </c>
      <c r="F61">
        <v>154277.96</v>
      </c>
      <c r="G61">
        <v>153135.45000000001</v>
      </c>
      <c r="H61">
        <v>423947.52000000002</v>
      </c>
      <c r="I61">
        <v>137772.25</v>
      </c>
      <c r="J61">
        <v>6</v>
      </c>
      <c r="K61">
        <v>7</v>
      </c>
      <c r="L61" t="s">
        <v>30</v>
      </c>
      <c r="M61" t="s">
        <v>127</v>
      </c>
      <c r="N61" t="s">
        <v>612</v>
      </c>
    </row>
    <row r="62" spans="1:14" x14ac:dyDescent="0.25">
      <c r="A62" t="s">
        <v>49</v>
      </c>
      <c r="B62" t="s">
        <v>50</v>
      </c>
      <c r="C62" t="s">
        <v>51</v>
      </c>
      <c r="D62" s="13">
        <v>45317</v>
      </c>
      <c r="E62" t="s">
        <v>18</v>
      </c>
      <c r="F62">
        <v>34352.230000000003</v>
      </c>
      <c r="G62">
        <v>63524.22</v>
      </c>
      <c r="H62">
        <v>91646.03</v>
      </c>
      <c r="I62">
        <v>17948.79</v>
      </c>
      <c r="J62">
        <v>1</v>
      </c>
      <c r="K62">
        <v>8</v>
      </c>
      <c r="L62" t="s">
        <v>30</v>
      </c>
      <c r="M62" t="s">
        <v>611</v>
      </c>
      <c r="N62" t="s">
        <v>612</v>
      </c>
    </row>
    <row r="63" spans="1:14" x14ac:dyDescent="0.25">
      <c r="A63" t="s">
        <v>55</v>
      </c>
      <c r="B63" t="s">
        <v>56</v>
      </c>
      <c r="C63" t="s">
        <v>51</v>
      </c>
      <c r="D63" s="13">
        <v>45317</v>
      </c>
      <c r="E63" t="s">
        <v>18</v>
      </c>
      <c r="F63">
        <v>73263.64</v>
      </c>
      <c r="G63">
        <v>83558.62</v>
      </c>
      <c r="H63">
        <v>247566.3</v>
      </c>
      <c r="I63">
        <v>53515.32</v>
      </c>
      <c r="J63">
        <v>6</v>
      </c>
      <c r="K63">
        <v>5</v>
      </c>
      <c r="L63" t="s">
        <v>30</v>
      </c>
      <c r="M63" t="s">
        <v>611</v>
      </c>
      <c r="N63" t="s">
        <v>612</v>
      </c>
    </row>
    <row r="64" spans="1:14" x14ac:dyDescent="0.25">
      <c r="A64" t="s">
        <v>59</v>
      </c>
      <c r="B64" t="s">
        <v>60</v>
      </c>
      <c r="C64" t="s">
        <v>51</v>
      </c>
      <c r="D64" s="13">
        <v>45317</v>
      </c>
      <c r="E64" t="s">
        <v>18</v>
      </c>
      <c r="F64">
        <v>95500.52</v>
      </c>
      <c r="G64">
        <v>51958.3</v>
      </c>
      <c r="H64">
        <v>245663.9</v>
      </c>
      <c r="I64">
        <v>76059.91</v>
      </c>
      <c r="J64">
        <v>3</v>
      </c>
      <c r="K64">
        <v>5</v>
      </c>
      <c r="L64" t="s">
        <v>30</v>
      </c>
      <c r="M64" t="s">
        <v>611</v>
      </c>
      <c r="N64" t="s">
        <v>612</v>
      </c>
    </row>
    <row r="65" spans="1:14" x14ac:dyDescent="0.25">
      <c r="A65" t="s">
        <v>62</v>
      </c>
      <c r="B65" t="s">
        <v>63</v>
      </c>
      <c r="C65" t="s">
        <v>51</v>
      </c>
      <c r="D65" s="13">
        <v>45317</v>
      </c>
      <c r="E65" t="s">
        <v>18</v>
      </c>
      <c r="F65">
        <v>39444.559999999998</v>
      </c>
      <c r="G65">
        <v>37215.589999999997</v>
      </c>
      <c r="H65">
        <v>175216.23</v>
      </c>
      <c r="I65">
        <v>34069.519999999997</v>
      </c>
      <c r="J65">
        <v>1</v>
      </c>
      <c r="K65">
        <v>6</v>
      </c>
      <c r="L65" t="s">
        <v>30</v>
      </c>
      <c r="M65" t="s">
        <v>611</v>
      </c>
      <c r="N65" t="s">
        <v>612</v>
      </c>
    </row>
    <row r="66" spans="1:14" x14ac:dyDescent="0.25">
      <c r="A66" t="s">
        <v>68</v>
      </c>
      <c r="B66" t="s">
        <v>69</v>
      </c>
      <c r="C66" t="s">
        <v>51</v>
      </c>
      <c r="D66" s="13">
        <v>45317</v>
      </c>
      <c r="E66" t="s">
        <v>18</v>
      </c>
      <c r="F66">
        <v>46994.79</v>
      </c>
      <c r="G66">
        <v>49511.17</v>
      </c>
      <c r="H66">
        <v>179394.86</v>
      </c>
      <c r="I66">
        <v>39016.25</v>
      </c>
      <c r="J66">
        <v>5</v>
      </c>
      <c r="K66">
        <v>8</v>
      </c>
      <c r="L66" t="s">
        <v>30</v>
      </c>
      <c r="M66" t="s">
        <v>611</v>
      </c>
      <c r="N66" t="s">
        <v>612</v>
      </c>
    </row>
    <row r="67" spans="1:14" x14ac:dyDescent="0.25">
      <c r="A67" t="s">
        <v>74</v>
      </c>
      <c r="B67" t="s">
        <v>75</v>
      </c>
      <c r="C67" t="s">
        <v>51</v>
      </c>
      <c r="D67" s="13">
        <v>45317</v>
      </c>
      <c r="E67" t="s">
        <v>18</v>
      </c>
      <c r="F67">
        <v>43806.64</v>
      </c>
      <c r="G67">
        <v>44578.39</v>
      </c>
      <c r="H67">
        <v>1127410</v>
      </c>
      <c r="I67">
        <v>21978.15</v>
      </c>
      <c r="J67">
        <v>1</v>
      </c>
      <c r="K67">
        <v>6</v>
      </c>
      <c r="L67" t="s">
        <v>30</v>
      </c>
      <c r="M67" t="s">
        <v>611</v>
      </c>
      <c r="N67" t="s">
        <v>612</v>
      </c>
    </row>
    <row r="68" spans="1:14" x14ac:dyDescent="0.25">
      <c r="A68" t="s">
        <v>78</v>
      </c>
      <c r="B68" t="s">
        <v>79</v>
      </c>
      <c r="C68" t="s">
        <v>137</v>
      </c>
      <c r="D68" s="13">
        <v>45317</v>
      </c>
      <c r="E68" t="s">
        <v>18</v>
      </c>
      <c r="F68">
        <v>26619.47</v>
      </c>
      <c r="G68">
        <v>24780.77</v>
      </c>
      <c r="H68">
        <v>122748</v>
      </c>
      <c r="I68">
        <v>34382.71</v>
      </c>
      <c r="J68">
        <v>10</v>
      </c>
      <c r="K68">
        <v>8</v>
      </c>
      <c r="L68" t="s">
        <v>30</v>
      </c>
      <c r="M68" t="s">
        <v>611</v>
      </c>
      <c r="N68" t="s">
        <v>612</v>
      </c>
    </row>
    <row r="69" spans="1:14" x14ac:dyDescent="0.25">
      <c r="A69" t="s">
        <v>82</v>
      </c>
      <c r="B69" t="s">
        <v>83</v>
      </c>
      <c r="C69" t="s">
        <v>137</v>
      </c>
      <c r="D69" s="13">
        <v>45317</v>
      </c>
      <c r="E69" t="s">
        <v>18</v>
      </c>
      <c r="F69">
        <v>44533.9</v>
      </c>
      <c r="G69">
        <v>22469.51</v>
      </c>
      <c r="H69">
        <v>133297.94</v>
      </c>
      <c r="I69">
        <v>41220.6</v>
      </c>
      <c r="J69">
        <v>12</v>
      </c>
      <c r="K69">
        <v>6</v>
      </c>
      <c r="L69" t="s">
        <v>30</v>
      </c>
      <c r="M69" t="s">
        <v>611</v>
      </c>
      <c r="N69" t="s">
        <v>612</v>
      </c>
    </row>
    <row r="70" spans="1:14" x14ac:dyDescent="0.25">
      <c r="A70" t="s">
        <v>84</v>
      </c>
      <c r="B70" t="s">
        <v>85</v>
      </c>
      <c r="C70" t="s">
        <v>137</v>
      </c>
      <c r="D70" s="13">
        <v>45317</v>
      </c>
      <c r="E70" t="s">
        <v>18</v>
      </c>
      <c r="F70">
        <v>9843.73</v>
      </c>
      <c r="G70">
        <v>9559.2800000000007</v>
      </c>
      <c r="H70">
        <v>44206.46</v>
      </c>
      <c r="I70">
        <v>10602.04</v>
      </c>
      <c r="J70">
        <v>3</v>
      </c>
      <c r="K70">
        <v>6</v>
      </c>
      <c r="L70" t="s">
        <v>30</v>
      </c>
      <c r="M70" t="s">
        <v>611</v>
      </c>
      <c r="N70" t="s">
        <v>612</v>
      </c>
    </row>
    <row r="71" spans="1:14" x14ac:dyDescent="0.25">
      <c r="A71" t="s">
        <v>87</v>
      </c>
      <c r="B71" t="s">
        <v>88</v>
      </c>
      <c r="C71" t="s">
        <v>137</v>
      </c>
      <c r="D71" s="13">
        <v>45317</v>
      </c>
      <c r="E71" t="s">
        <v>18</v>
      </c>
      <c r="F71">
        <v>23668.89</v>
      </c>
      <c r="G71">
        <v>29044.47</v>
      </c>
      <c r="H71">
        <v>112183.27</v>
      </c>
      <c r="I71">
        <v>35637.11</v>
      </c>
      <c r="J71">
        <v>12</v>
      </c>
      <c r="K71">
        <v>13</v>
      </c>
      <c r="L71" t="s">
        <v>30</v>
      </c>
      <c r="M71" t="s">
        <v>125</v>
      </c>
      <c r="N71" t="s">
        <v>612</v>
      </c>
    </row>
    <row r="72" spans="1:14" x14ac:dyDescent="0.25">
      <c r="A72" t="s">
        <v>93</v>
      </c>
      <c r="B72" t="s">
        <v>94</v>
      </c>
      <c r="C72" t="s">
        <v>137</v>
      </c>
      <c r="D72" s="13">
        <v>45317</v>
      </c>
      <c r="E72" t="s">
        <v>18</v>
      </c>
      <c r="F72">
        <v>47303.09</v>
      </c>
      <c r="G72">
        <v>24236.03</v>
      </c>
      <c r="H72">
        <v>164072.72</v>
      </c>
      <c r="I72">
        <v>48469.15</v>
      </c>
      <c r="J72">
        <v>2</v>
      </c>
      <c r="K72">
        <v>6</v>
      </c>
      <c r="L72" t="s">
        <v>30</v>
      </c>
      <c r="M72" t="s">
        <v>43</v>
      </c>
      <c r="N72" t="s">
        <v>612</v>
      </c>
    </row>
    <row r="73" spans="1:14" x14ac:dyDescent="0.25">
      <c r="A73" t="s">
        <v>96</v>
      </c>
      <c r="B73" t="s">
        <v>97</v>
      </c>
      <c r="C73" t="s">
        <v>137</v>
      </c>
      <c r="D73" s="13">
        <v>45317</v>
      </c>
      <c r="E73" t="s">
        <v>18</v>
      </c>
      <c r="F73">
        <v>23733.97</v>
      </c>
      <c r="G73">
        <v>19478.8</v>
      </c>
      <c r="H73">
        <v>77742.490000000005</v>
      </c>
      <c r="I73">
        <v>22744.57</v>
      </c>
      <c r="J73">
        <v>4</v>
      </c>
      <c r="K73">
        <v>7</v>
      </c>
      <c r="L73" t="s">
        <v>30</v>
      </c>
      <c r="M73" t="s">
        <v>611</v>
      </c>
      <c r="N73" t="s">
        <v>612</v>
      </c>
    </row>
    <row r="74" spans="1:14" x14ac:dyDescent="0.25">
      <c r="A74" t="s">
        <v>14</v>
      </c>
      <c r="B74" t="s">
        <v>15</v>
      </c>
      <c r="C74" t="s">
        <v>16</v>
      </c>
      <c r="D74" s="13">
        <v>45324</v>
      </c>
      <c r="E74" t="s">
        <v>18</v>
      </c>
      <c r="F74">
        <v>173863.85</v>
      </c>
      <c r="G74">
        <v>174099.98</v>
      </c>
      <c r="H74">
        <v>592266.18000000005</v>
      </c>
      <c r="I74">
        <v>128173.95</v>
      </c>
      <c r="J74">
        <v>4</v>
      </c>
      <c r="K74">
        <v>1</v>
      </c>
      <c r="L74" t="s">
        <v>30</v>
      </c>
      <c r="M74" t="s">
        <v>115</v>
      </c>
      <c r="N74" t="s">
        <v>612</v>
      </c>
    </row>
    <row r="75" spans="1:14" x14ac:dyDescent="0.25">
      <c r="A75" t="s">
        <v>21</v>
      </c>
      <c r="B75" t="s">
        <v>22</v>
      </c>
      <c r="C75" t="s">
        <v>16</v>
      </c>
      <c r="D75" s="13">
        <v>45324</v>
      </c>
      <c r="E75" t="s">
        <v>18</v>
      </c>
      <c r="F75">
        <v>150050.1</v>
      </c>
      <c r="G75">
        <v>247923.93</v>
      </c>
      <c r="H75">
        <v>686983.79</v>
      </c>
      <c r="I75">
        <v>218143.07</v>
      </c>
      <c r="J75">
        <v>2</v>
      </c>
      <c r="K75">
        <v>3</v>
      </c>
      <c r="L75" t="s">
        <v>30</v>
      </c>
      <c r="M75" t="s">
        <v>105</v>
      </c>
      <c r="N75" t="s">
        <v>612</v>
      </c>
    </row>
    <row r="76" spans="1:14" x14ac:dyDescent="0.25">
      <c r="A76" t="s">
        <v>27</v>
      </c>
      <c r="B76" t="s">
        <v>28</v>
      </c>
      <c r="C76" t="s">
        <v>16</v>
      </c>
      <c r="D76" s="13">
        <v>45324</v>
      </c>
      <c r="E76" t="s">
        <v>18</v>
      </c>
      <c r="F76">
        <v>123325.51</v>
      </c>
      <c r="G76">
        <v>129415.3</v>
      </c>
      <c r="H76">
        <v>587021.49</v>
      </c>
      <c r="I76">
        <v>173354.59</v>
      </c>
      <c r="J76">
        <v>5</v>
      </c>
      <c r="K76">
        <v>8</v>
      </c>
      <c r="L76" t="s">
        <v>112</v>
      </c>
      <c r="M76" t="s">
        <v>31</v>
      </c>
      <c r="N76" t="s">
        <v>612</v>
      </c>
    </row>
    <row r="77" spans="1:14" x14ac:dyDescent="0.25">
      <c r="A77" t="s">
        <v>32</v>
      </c>
      <c r="B77" t="s">
        <v>33</v>
      </c>
      <c r="C77" t="s">
        <v>16</v>
      </c>
      <c r="D77" s="13">
        <v>45324</v>
      </c>
      <c r="E77" t="s">
        <v>18</v>
      </c>
      <c r="F77">
        <v>147282.69</v>
      </c>
      <c r="G77">
        <v>144247.78</v>
      </c>
      <c r="H77">
        <v>630149.36</v>
      </c>
      <c r="I77">
        <v>126783.03999999999</v>
      </c>
      <c r="J77">
        <v>1</v>
      </c>
      <c r="K77">
        <v>2</v>
      </c>
      <c r="L77" t="s">
        <v>30</v>
      </c>
      <c r="M77" t="s">
        <v>611</v>
      </c>
      <c r="N77" t="s">
        <v>612</v>
      </c>
    </row>
    <row r="78" spans="1:14" x14ac:dyDescent="0.25">
      <c r="A78" t="s">
        <v>39</v>
      </c>
      <c r="B78" t="s">
        <v>40</v>
      </c>
      <c r="C78" t="s">
        <v>16</v>
      </c>
      <c r="D78" s="13">
        <v>45324</v>
      </c>
      <c r="E78" t="s">
        <v>18</v>
      </c>
      <c r="F78">
        <v>150281</v>
      </c>
      <c r="G78">
        <v>143927.79</v>
      </c>
      <c r="H78">
        <v>35491.14</v>
      </c>
      <c r="I78">
        <v>11451.57</v>
      </c>
      <c r="J78">
        <v>6</v>
      </c>
      <c r="K78">
        <v>2</v>
      </c>
      <c r="L78" t="s">
        <v>30</v>
      </c>
      <c r="M78" t="s">
        <v>611</v>
      </c>
      <c r="N78" t="s">
        <v>613</v>
      </c>
    </row>
    <row r="79" spans="1:14" x14ac:dyDescent="0.25">
      <c r="A79" t="s">
        <v>49</v>
      </c>
      <c r="B79" t="s">
        <v>50</v>
      </c>
      <c r="C79" t="s">
        <v>51</v>
      </c>
      <c r="D79" s="13">
        <v>45324</v>
      </c>
      <c r="E79" t="s">
        <v>18</v>
      </c>
      <c r="F79">
        <v>33795.22</v>
      </c>
      <c r="G79">
        <v>59374.13</v>
      </c>
      <c r="H79">
        <v>93882</v>
      </c>
      <c r="I79">
        <v>21705.119999999999</v>
      </c>
      <c r="J79">
        <v>1</v>
      </c>
      <c r="K79">
        <v>7</v>
      </c>
      <c r="L79" t="s">
        <v>30</v>
      </c>
      <c r="M79" t="s">
        <v>43</v>
      </c>
      <c r="N79" t="s">
        <v>612</v>
      </c>
    </row>
    <row r="80" spans="1:14" x14ac:dyDescent="0.25">
      <c r="A80" t="s">
        <v>55</v>
      </c>
      <c r="B80" t="s">
        <v>56</v>
      </c>
      <c r="C80" t="s">
        <v>51</v>
      </c>
      <c r="D80" s="13">
        <v>45324</v>
      </c>
      <c r="E80" t="s">
        <v>18</v>
      </c>
      <c r="F80">
        <v>30093.86</v>
      </c>
      <c r="G80">
        <v>28765.06</v>
      </c>
      <c r="H80">
        <v>89327.15</v>
      </c>
      <c r="I80">
        <v>24028.32</v>
      </c>
      <c r="J80">
        <v>3</v>
      </c>
      <c r="K80">
        <v>7</v>
      </c>
      <c r="L80" t="s">
        <v>30</v>
      </c>
      <c r="M80" t="s">
        <v>611</v>
      </c>
      <c r="N80" t="s">
        <v>612</v>
      </c>
    </row>
    <row r="81" spans="1:14" x14ac:dyDescent="0.25">
      <c r="A81" t="s">
        <v>59</v>
      </c>
      <c r="B81" t="s">
        <v>60</v>
      </c>
      <c r="C81" t="s">
        <v>51</v>
      </c>
      <c r="D81" s="13">
        <v>45324</v>
      </c>
      <c r="E81" t="s">
        <v>18</v>
      </c>
      <c r="F81">
        <v>69079.11</v>
      </c>
      <c r="G81">
        <v>38031.07</v>
      </c>
      <c r="H81">
        <v>195737.32</v>
      </c>
      <c r="I81">
        <v>46497.99</v>
      </c>
      <c r="J81">
        <v>6</v>
      </c>
      <c r="K81">
        <v>6</v>
      </c>
      <c r="L81" t="s">
        <v>30</v>
      </c>
      <c r="M81" t="s">
        <v>101</v>
      </c>
      <c r="N81" t="s">
        <v>612</v>
      </c>
    </row>
    <row r="82" spans="1:14" x14ac:dyDescent="0.25">
      <c r="A82" t="s">
        <v>74</v>
      </c>
      <c r="B82" t="s">
        <v>75</v>
      </c>
      <c r="C82" t="s">
        <v>51</v>
      </c>
      <c r="D82" s="13">
        <v>45324</v>
      </c>
      <c r="E82" t="s">
        <v>18</v>
      </c>
      <c r="F82">
        <v>60923.02</v>
      </c>
      <c r="G82">
        <v>69862.66</v>
      </c>
      <c r="H82">
        <v>190889.13</v>
      </c>
      <c r="I82">
        <v>40561.57</v>
      </c>
      <c r="J82">
        <v>3</v>
      </c>
      <c r="K82">
        <v>8</v>
      </c>
      <c r="L82" t="s">
        <v>30</v>
      </c>
      <c r="M82" t="s">
        <v>611</v>
      </c>
      <c r="N82" t="s">
        <v>612</v>
      </c>
    </row>
    <row r="83" spans="1:14" x14ac:dyDescent="0.25">
      <c r="A83" t="s">
        <v>78</v>
      </c>
      <c r="B83" t="s">
        <v>79</v>
      </c>
      <c r="C83" t="s">
        <v>137</v>
      </c>
      <c r="D83" s="13">
        <v>45324</v>
      </c>
      <c r="E83" t="s">
        <v>18</v>
      </c>
      <c r="F83">
        <v>21397.49</v>
      </c>
      <c r="G83">
        <v>21370.99</v>
      </c>
      <c r="H83">
        <v>81271.710000000006</v>
      </c>
      <c r="I83">
        <v>24674.400000000001</v>
      </c>
      <c r="J83">
        <v>3</v>
      </c>
      <c r="K83">
        <v>14</v>
      </c>
      <c r="L83" t="s">
        <v>30</v>
      </c>
      <c r="M83" t="s">
        <v>125</v>
      </c>
      <c r="N83" t="s">
        <v>612</v>
      </c>
    </row>
    <row r="84" spans="1:14" x14ac:dyDescent="0.25">
      <c r="A84" t="s">
        <v>82</v>
      </c>
      <c r="B84" t="s">
        <v>83</v>
      </c>
      <c r="C84" t="s">
        <v>137</v>
      </c>
      <c r="D84" s="13">
        <v>45324</v>
      </c>
      <c r="E84" t="s">
        <v>18</v>
      </c>
      <c r="F84">
        <v>24261.15</v>
      </c>
      <c r="G84">
        <v>12171.34</v>
      </c>
      <c r="H84">
        <v>77305.440000000002</v>
      </c>
      <c r="I84">
        <v>26372.27</v>
      </c>
      <c r="J84">
        <v>3</v>
      </c>
      <c r="K84">
        <v>8</v>
      </c>
      <c r="L84" t="s">
        <v>30</v>
      </c>
      <c r="M84" t="s">
        <v>611</v>
      </c>
      <c r="N84" t="s">
        <v>612</v>
      </c>
    </row>
    <row r="85" spans="1:14" x14ac:dyDescent="0.25">
      <c r="A85" t="s">
        <v>84</v>
      </c>
      <c r="B85" t="s">
        <v>85</v>
      </c>
      <c r="C85" t="s">
        <v>137</v>
      </c>
      <c r="D85" s="13">
        <v>45324</v>
      </c>
      <c r="E85" t="s">
        <v>18</v>
      </c>
      <c r="F85">
        <v>33635.61</v>
      </c>
      <c r="G85">
        <v>25771.360000000001</v>
      </c>
      <c r="H85">
        <v>141190</v>
      </c>
      <c r="I85">
        <v>34343.550000000003</v>
      </c>
      <c r="J85">
        <v>3</v>
      </c>
      <c r="K85">
        <v>4</v>
      </c>
      <c r="L85" t="s">
        <v>112</v>
      </c>
      <c r="M85" t="s">
        <v>611</v>
      </c>
      <c r="N85" t="s">
        <v>612</v>
      </c>
    </row>
    <row r="86" spans="1:14" x14ac:dyDescent="0.25">
      <c r="A86" t="s">
        <v>87</v>
      </c>
      <c r="B86" t="s">
        <v>88</v>
      </c>
      <c r="C86" t="s">
        <v>137</v>
      </c>
      <c r="D86" s="13">
        <v>45324</v>
      </c>
      <c r="E86" t="s">
        <v>18</v>
      </c>
      <c r="F86">
        <v>23165.16</v>
      </c>
      <c r="G86">
        <v>20405.919999999998</v>
      </c>
      <c r="H86">
        <v>98685.78</v>
      </c>
      <c r="I86">
        <v>28028.65</v>
      </c>
      <c r="J86">
        <v>9</v>
      </c>
      <c r="K86">
        <v>6</v>
      </c>
      <c r="L86" t="s">
        <v>30</v>
      </c>
      <c r="M86" t="s">
        <v>611</v>
      </c>
      <c r="N86" t="s">
        <v>612</v>
      </c>
    </row>
    <row r="87" spans="1:14" x14ac:dyDescent="0.25">
      <c r="A87" t="s">
        <v>90</v>
      </c>
      <c r="B87" t="s">
        <v>91</v>
      </c>
      <c r="C87" t="s">
        <v>137</v>
      </c>
      <c r="D87" s="13">
        <v>45324</v>
      </c>
      <c r="E87" t="s">
        <v>18</v>
      </c>
      <c r="F87">
        <v>22849.919999999998</v>
      </c>
      <c r="G87">
        <v>20454.82</v>
      </c>
      <c r="H87">
        <v>1057958</v>
      </c>
      <c r="I87">
        <v>35708.910000000003</v>
      </c>
      <c r="J87">
        <v>12</v>
      </c>
      <c r="K87">
        <v>6</v>
      </c>
      <c r="L87" t="s">
        <v>30</v>
      </c>
      <c r="M87" t="s">
        <v>611</v>
      </c>
      <c r="N87" t="s">
        <v>612</v>
      </c>
    </row>
    <row r="88" spans="1:14" x14ac:dyDescent="0.25">
      <c r="A88" t="s">
        <v>93</v>
      </c>
      <c r="B88" t="s">
        <v>94</v>
      </c>
      <c r="C88" t="s">
        <v>137</v>
      </c>
      <c r="D88" s="13">
        <v>45324</v>
      </c>
      <c r="E88" t="s">
        <v>18</v>
      </c>
      <c r="F88">
        <v>29960.19</v>
      </c>
      <c r="G88">
        <v>15801.94</v>
      </c>
      <c r="H88">
        <v>128744.17</v>
      </c>
      <c r="I88">
        <v>40008.28</v>
      </c>
      <c r="J88">
        <v>11</v>
      </c>
      <c r="K88">
        <v>13</v>
      </c>
      <c r="L88" t="s">
        <v>30</v>
      </c>
      <c r="M88" t="s">
        <v>611</v>
      </c>
      <c r="N88" t="s">
        <v>612</v>
      </c>
    </row>
    <row r="89" spans="1:14" x14ac:dyDescent="0.25">
      <c r="A89" t="s">
        <v>96</v>
      </c>
      <c r="B89" t="s">
        <v>97</v>
      </c>
      <c r="C89" t="s">
        <v>137</v>
      </c>
      <c r="D89" s="13">
        <v>45324</v>
      </c>
      <c r="E89" t="s">
        <v>18</v>
      </c>
      <c r="F89">
        <v>34089.14</v>
      </c>
      <c r="G89">
        <v>32940.65</v>
      </c>
      <c r="H89">
        <v>89945.3</v>
      </c>
      <c r="I89">
        <v>18529.87</v>
      </c>
      <c r="J89">
        <v>4</v>
      </c>
      <c r="K89">
        <v>15</v>
      </c>
      <c r="L89" t="s">
        <v>30</v>
      </c>
      <c r="M89" t="s">
        <v>611</v>
      </c>
      <c r="N89" t="s">
        <v>612</v>
      </c>
    </row>
    <row r="90" spans="1:14" x14ac:dyDescent="0.25">
      <c r="A90" t="s">
        <v>14</v>
      </c>
      <c r="B90" t="s">
        <v>15</v>
      </c>
      <c r="C90" t="s">
        <v>16</v>
      </c>
      <c r="D90" s="13">
        <v>45331</v>
      </c>
      <c r="E90" t="s">
        <v>18</v>
      </c>
      <c r="F90">
        <v>169738.23999999999</v>
      </c>
      <c r="G90">
        <v>172231.58</v>
      </c>
      <c r="H90">
        <v>496993.83</v>
      </c>
      <c r="I90">
        <v>165668</v>
      </c>
      <c r="J90">
        <v>3</v>
      </c>
      <c r="K90">
        <v>3</v>
      </c>
      <c r="L90" t="s">
        <v>30</v>
      </c>
      <c r="M90" t="s">
        <v>611</v>
      </c>
      <c r="N90" t="s">
        <v>612</v>
      </c>
    </row>
    <row r="91" spans="1:14" x14ac:dyDescent="0.25">
      <c r="A91" t="s">
        <v>21</v>
      </c>
      <c r="B91" t="s">
        <v>22</v>
      </c>
      <c r="C91" t="s">
        <v>16</v>
      </c>
      <c r="D91" s="13">
        <v>45331</v>
      </c>
      <c r="E91" t="s">
        <v>18</v>
      </c>
      <c r="F91">
        <v>62796.07</v>
      </c>
      <c r="G91">
        <v>109199.17</v>
      </c>
      <c r="H91">
        <v>232807.78</v>
      </c>
      <c r="I91">
        <v>69015.5</v>
      </c>
      <c r="J91">
        <v>3</v>
      </c>
      <c r="K91">
        <v>5</v>
      </c>
      <c r="L91" t="s">
        <v>30</v>
      </c>
      <c r="M91" t="s">
        <v>611</v>
      </c>
      <c r="N91" t="s">
        <v>612</v>
      </c>
    </row>
    <row r="92" spans="1:14" x14ac:dyDescent="0.25">
      <c r="A92" t="s">
        <v>27</v>
      </c>
      <c r="B92" t="s">
        <v>28</v>
      </c>
      <c r="C92" t="s">
        <v>16</v>
      </c>
      <c r="D92" s="13">
        <v>45331</v>
      </c>
      <c r="E92" t="s">
        <v>18</v>
      </c>
      <c r="F92">
        <v>98307.26</v>
      </c>
      <c r="G92">
        <v>96270.97</v>
      </c>
      <c r="H92">
        <v>324196.68</v>
      </c>
      <c r="I92">
        <v>73096.679999999993</v>
      </c>
      <c r="J92">
        <v>2</v>
      </c>
      <c r="K92">
        <v>2</v>
      </c>
      <c r="L92" t="s">
        <v>30</v>
      </c>
      <c r="M92" t="s">
        <v>611</v>
      </c>
      <c r="N92" t="s">
        <v>612</v>
      </c>
    </row>
    <row r="93" spans="1:14" x14ac:dyDescent="0.25">
      <c r="A93" t="s">
        <v>32</v>
      </c>
      <c r="B93" t="s">
        <v>33</v>
      </c>
      <c r="C93" t="s">
        <v>16</v>
      </c>
      <c r="D93" s="13">
        <v>45331</v>
      </c>
      <c r="E93" t="s">
        <v>18</v>
      </c>
      <c r="F93">
        <v>102307.94</v>
      </c>
      <c r="G93">
        <v>110426.59</v>
      </c>
      <c r="H93">
        <v>383337.54</v>
      </c>
      <c r="I93">
        <v>70511.100000000006</v>
      </c>
      <c r="J93">
        <v>4</v>
      </c>
      <c r="K93">
        <v>8</v>
      </c>
      <c r="L93" t="s">
        <v>30</v>
      </c>
      <c r="M93" t="s">
        <v>611</v>
      </c>
      <c r="N93" t="s">
        <v>612</v>
      </c>
    </row>
    <row r="94" spans="1:14" x14ac:dyDescent="0.25">
      <c r="A94" t="s">
        <v>44</v>
      </c>
      <c r="B94" t="s">
        <v>45</v>
      </c>
      <c r="C94" t="s">
        <v>16</v>
      </c>
      <c r="D94" s="13">
        <v>45331</v>
      </c>
      <c r="E94" t="s">
        <v>18</v>
      </c>
      <c r="F94">
        <v>98750.89</v>
      </c>
      <c r="G94">
        <v>95029.53</v>
      </c>
      <c r="H94">
        <v>435456.07</v>
      </c>
      <c r="I94">
        <v>108036.16</v>
      </c>
      <c r="J94">
        <v>5</v>
      </c>
      <c r="K94">
        <v>6</v>
      </c>
      <c r="L94" t="s">
        <v>30</v>
      </c>
      <c r="M94" t="s">
        <v>611</v>
      </c>
      <c r="N94" t="s">
        <v>612</v>
      </c>
    </row>
    <row r="95" spans="1:14" x14ac:dyDescent="0.25">
      <c r="A95" t="s">
        <v>49</v>
      </c>
      <c r="B95" t="s">
        <v>50</v>
      </c>
      <c r="C95" t="s">
        <v>51</v>
      </c>
      <c r="D95" s="13">
        <v>45331</v>
      </c>
      <c r="E95" t="s">
        <v>18</v>
      </c>
      <c r="F95">
        <v>63768.74</v>
      </c>
      <c r="G95">
        <v>110707.57</v>
      </c>
      <c r="H95">
        <v>279779.78999999998</v>
      </c>
      <c r="I95">
        <v>74575.539999999994</v>
      </c>
      <c r="J95">
        <v>5</v>
      </c>
      <c r="K95">
        <v>6</v>
      </c>
      <c r="L95" t="s">
        <v>30</v>
      </c>
      <c r="M95" t="s">
        <v>611</v>
      </c>
      <c r="N95" t="s">
        <v>612</v>
      </c>
    </row>
    <row r="96" spans="1:14" x14ac:dyDescent="0.25">
      <c r="A96" t="s">
        <v>55</v>
      </c>
      <c r="B96" t="s">
        <v>56</v>
      </c>
      <c r="C96" t="s">
        <v>51</v>
      </c>
      <c r="D96" s="13">
        <v>45331</v>
      </c>
      <c r="E96" t="s">
        <v>18</v>
      </c>
      <c r="F96">
        <v>89436.94</v>
      </c>
      <c r="G96">
        <v>95858.14</v>
      </c>
      <c r="H96">
        <v>356344.66</v>
      </c>
      <c r="I96">
        <v>95019.8</v>
      </c>
      <c r="J96">
        <v>4</v>
      </c>
      <c r="K96">
        <v>5</v>
      </c>
      <c r="L96" t="s">
        <v>30</v>
      </c>
      <c r="M96" t="s">
        <v>113</v>
      </c>
      <c r="N96" t="s">
        <v>612</v>
      </c>
    </row>
    <row r="97" spans="1:14" x14ac:dyDescent="0.25">
      <c r="A97" t="s">
        <v>59</v>
      </c>
      <c r="B97" t="s">
        <v>60</v>
      </c>
      <c r="C97" t="s">
        <v>51</v>
      </c>
      <c r="D97" s="13">
        <v>45331</v>
      </c>
      <c r="E97" t="s">
        <v>18</v>
      </c>
      <c r="F97">
        <v>64176.21</v>
      </c>
      <c r="G97">
        <v>33309.839999999997</v>
      </c>
      <c r="H97">
        <v>276182</v>
      </c>
      <c r="I97">
        <v>57718.53</v>
      </c>
      <c r="J97">
        <v>6</v>
      </c>
      <c r="K97">
        <v>4</v>
      </c>
      <c r="L97" t="s">
        <v>30</v>
      </c>
      <c r="M97" t="s">
        <v>43</v>
      </c>
      <c r="N97" t="s">
        <v>612</v>
      </c>
    </row>
    <row r="98" spans="1:14" x14ac:dyDescent="0.25">
      <c r="A98" t="s">
        <v>62</v>
      </c>
      <c r="B98" t="s">
        <v>63</v>
      </c>
      <c r="C98" t="s">
        <v>51</v>
      </c>
      <c r="D98" s="13">
        <v>45331</v>
      </c>
      <c r="E98" t="s">
        <v>18</v>
      </c>
      <c r="F98">
        <v>42233.5</v>
      </c>
      <c r="G98">
        <v>42256.55</v>
      </c>
      <c r="H98">
        <v>197739.12</v>
      </c>
      <c r="I98">
        <v>37686.67</v>
      </c>
      <c r="J98">
        <v>2</v>
      </c>
      <c r="K98">
        <v>8</v>
      </c>
      <c r="L98" t="s">
        <v>30</v>
      </c>
      <c r="M98" t="s">
        <v>31</v>
      </c>
      <c r="N98" t="s">
        <v>612</v>
      </c>
    </row>
    <row r="99" spans="1:14" x14ac:dyDescent="0.25">
      <c r="A99" t="s">
        <v>66</v>
      </c>
      <c r="B99" t="s">
        <v>67</v>
      </c>
      <c r="C99" t="s">
        <v>51</v>
      </c>
      <c r="D99" s="13">
        <v>45331</v>
      </c>
      <c r="E99" t="s">
        <v>18</v>
      </c>
      <c r="F99">
        <v>41535.85</v>
      </c>
      <c r="G99">
        <v>38377.29</v>
      </c>
      <c r="H99">
        <v>127189.73</v>
      </c>
      <c r="I99">
        <v>29329.25</v>
      </c>
      <c r="J99">
        <v>3</v>
      </c>
      <c r="K99">
        <v>5</v>
      </c>
      <c r="L99" t="s">
        <v>30</v>
      </c>
      <c r="M99" t="s">
        <v>611</v>
      </c>
      <c r="N99" t="s">
        <v>612</v>
      </c>
    </row>
    <row r="100" spans="1:14" x14ac:dyDescent="0.25">
      <c r="A100" t="s">
        <v>68</v>
      </c>
      <c r="B100" t="s">
        <v>69</v>
      </c>
      <c r="C100" t="s">
        <v>51</v>
      </c>
      <c r="D100" s="13">
        <v>45331</v>
      </c>
      <c r="E100" t="s">
        <v>18</v>
      </c>
      <c r="F100">
        <v>88809.63</v>
      </c>
      <c r="G100">
        <v>97292.13</v>
      </c>
      <c r="H100">
        <v>286511.56</v>
      </c>
      <c r="I100">
        <v>86355.74</v>
      </c>
      <c r="J100">
        <v>3</v>
      </c>
      <c r="K100">
        <v>3</v>
      </c>
      <c r="L100" t="s">
        <v>112</v>
      </c>
      <c r="M100" t="s">
        <v>611</v>
      </c>
      <c r="N100" t="s">
        <v>612</v>
      </c>
    </row>
    <row r="101" spans="1:14" x14ac:dyDescent="0.25">
      <c r="A101" t="s">
        <v>74</v>
      </c>
      <c r="B101" t="s">
        <v>75</v>
      </c>
      <c r="C101" t="s">
        <v>51</v>
      </c>
      <c r="D101" s="13">
        <v>45331</v>
      </c>
      <c r="E101" t="s">
        <v>18</v>
      </c>
      <c r="F101">
        <v>44356.92</v>
      </c>
      <c r="G101">
        <v>38378.92</v>
      </c>
      <c r="H101">
        <v>5884.4</v>
      </c>
      <c r="I101">
        <v>1776.8</v>
      </c>
      <c r="J101">
        <v>1</v>
      </c>
      <c r="K101">
        <v>4</v>
      </c>
      <c r="L101" t="s">
        <v>30</v>
      </c>
      <c r="M101" t="s">
        <v>611</v>
      </c>
      <c r="N101" t="s">
        <v>613</v>
      </c>
    </row>
    <row r="102" spans="1:14" x14ac:dyDescent="0.25">
      <c r="A102" t="s">
        <v>78</v>
      </c>
      <c r="B102" t="s">
        <v>79</v>
      </c>
      <c r="C102" t="s">
        <v>137</v>
      </c>
      <c r="D102" s="13">
        <v>45331</v>
      </c>
      <c r="E102" t="s">
        <v>18</v>
      </c>
      <c r="F102">
        <v>9597.39</v>
      </c>
      <c r="G102">
        <v>10886.92</v>
      </c>
      <c r="H102">
        <v>37768.93</v>
      </c>
      <c r="I102">
        <v>11441.34</v>
      </c>
      <c r="J102">
        <v>2</v>
      </c>
      <c r="K102">
        <v>12</v>
      </c>
      <c r="L102" t="s">
        <v>112</v>
      </c>
      <c r="M102" t="s">
        <v>73</v>
      </c>
      <c r="N102" t="s">
        <v>612</v>
      </c>
    </row>
    <row r="103" spans="1:14" x14ac:dyDescent="0.25">
      <c r="A103" t="s">
        <v>82</v>
      </c>
      <c r="B103" t="s">
        <v>83</v>
      </c>
      <c r="C103" t="s">
        <v>137</v>
      </c>
      <c r="D103" s="13">
        <v>45331</v>
      </c>
      <c r="E103" t="s">
        <v>18</v>
      </c>
      <c r="F103">
        <v>10813.8</v>
      </c>
      <c r="G103">
        <v>6416.93</v>
      </c>
      <c r="H103">
        <v>39317.61</v>
      </c>
      <c r="I103">
        <v>10581.71</v>
      </c>
      <c r="J103">
        <v>4</v>
      </c>
      <c r="K103">
        <v>6</v>
      </c>
      <c r="L103" t="s">
        <v>30</v>
      </c>
      <c r="M103" t="s">
        <v>611</v>
      </c>
      <c r="N103" t="s">
        <v>612</v>
      </c>
    </row>
    <row r="104" spans="1:14" x14ac:dyDescent="0.25">
      <c r="A104" t="s">
        <v>84</v>
      </c>
      <c r="B104" t="s">
        <v>85</v>
      </c>
      <c r="C104" t="s">
        <v>137</v>
      </c>
      <c r="D104" s="13">
        <v>45331</v>
      </c>
      <c r="E104" t="s">
        <v>18</v>
      </c>
      <c r="F104">
        <v>23330.09</v>
      </c>
      <c r="G104">
        <v>26331.31</v>
      </c>
      <c r="H104">
        <v>93959.3</v>
      </c>
      <c r="I104">
        <v>23389.599999999999</v>
      </c>
      <c r="J104">
        <v>8</v>
      </c>
      <c r="K104">
        <v>4</v>
      </c>
      <c r="L104" t="s">
        <v>30</v>
      </c>
      <c r="M104" t="s">
        <v>611</v>
      </c>
      <c r="N104" t="s">
        <v>612</v>
      </c>
    </row>
    <row r="105" spans="1:14" x14ac:dyDescent="0.25">
      <c r="A105" t="s">
        <v>87</v>
      </c>
      <c r="B105" t="s">
        <v>88</v>
      </c>
      <c r="C105" t="s">
        <v>137</v>
      </c>
      <c r="D105" s="13">
        <v>45331</v>
      </c>
      <c r="E105" t="s">
        <v>18</v>
      </c>
      <c r="F105">
        <v>33758.94</v>
      </c>
      <c r="G105">
        <v>30415.89</v>
      </c>
      <c r="H105">
        <v>132746.68</v>
      </c>
      <c r="I105">
        <v>32008.39</v>
      </c>
      <c r="J105">
        <v>5</v>
      </c>
      <c r="K105">
        <v>13</v>
      </c>
      <c r="L105" t="s">
        <v>30</v>
      </c>
      <c r="M105" t="s">
        <v>127</v>
      </c>
      <c r="N105" t="s">
        <v>612</v>
      </c>
    </row>
    <row r="106" spans="1:14" x14ac:dyDescent="0.25">
      <c r="A106" t="s">
        <v>90</v>
      </c>
      <c r="B106" t="s">
        <v>91</v>
      </c>
      <c r="C106" t="s">
        <v>137</v>
      </c>
      <c r="D106" s="13">
        <v>45331</v>
      </c>
      <c r="E106" t="s">
        <v>18</v>
      </c>
      <c r="F106">
        <v>33397.160000000003</v>
      </c>
      <c r="G106">
        <v>31185.33</v>
      </c>
      <c r="H106">
        <v>101788.59</v>
      </c>
      <c r="I106">
        <v>20972.68</v>
      </c>
      <c r="J106">
        <v>11</v>
      </c>
      <c r="K106">
        <v>5</v>
      </c>
      <c r="L106" t="s">
        <v>30</v>
      </c>
      <c r="M106" t="s">
        <v>611</v>
      </c>
      <c r="N106" t="s">
        <v>612</v>
      </c>
    </row>
    <row r="107" spans="1:14" x14ac:dyDescent="0.25">
      <c r="A107" t="s">
        <v>93</v>
      </c>
      <c r="B107" t="s">
        <v>94</v>
      </c>
      <c r="C107" t="s">
        <v>137</v>
      </c>
      <c r="D107" s="13">
        <v>45331</v>
      </c>
      <c r="E107" t="s">
        <v>18</v>
      </c>
      <c r="F107">
        <v>40104.06</v>
      </c>
      <c r="G107">
        <v>21864.25</v>
      </c>
      <c r="H107">
        <v>133157.26999999999</v>
      </c>
      <c r="I107">
        <v>26599.599999999999</v>
      </c>
      <c r="J107">
        <v>5</v>
      </c>
      <c r="K107">
        <v>4</v>
      </c>
      <c r="L107" t="s">
        <v>30</v>
      </c>
      <c r="M107" t="s">
        <v>73</v>
      </c>
      <c r="N107" t="s">
        <v>612</v>
      </c>
    </row>
    <row r="108" spans="1:14" x14ac:dyDescent="0.25">
      <c r="A108" t="s">
        <v>96</v>
      </c>
      <c r="B108" t="s">
        <v>97</v>
      </c>
      <c r="C108" t="s">
        <v>137</v>
      </c>
      <c r="D108" s="13">
        <v>45331</v>
      </c>
      <c r="E108" t="s">
        <v>18</v>
      </c>
      <c r="F108">
        <v>18690.62</v>
      </c>
      <c r="G108">
        <v>21647.97</v>
      </c>
      <c r="H108">
        <v>56908.31</v>
      </c>
      <c r="I108">
        <v>14342.52</v>
      </c>
      <c r="J108">
        <v>3</v>
      </c>
      <c r="K108">
        <v>13</v>
      </c>
      <c r="L108" t="s">
        <v>30</v>
      </c>
      <c r="M108" t="s">
        <v>611</v>
      </c>
      <c r="N108" t="s">
        <v>612</v>
      </c>
    </row>
    <row r="109" spans="1:14" x14ac:dyDescent="0.25">
      <c r="A109" t="s">
        <v>14</v>
      </c>
      <c r="B109" t="s">
        <v>15</v>
      </c>
      <c r="C109" t="s">
        <v>16</v>
      </c>
      <c r="D109" s="13">
        <v>45338</v>
      </c>
      <c r="E109" t="s">
        <v>18</v>
      </c>
      <c r="F109">
        <v>204786.7</v>
      </c>
      <c r="G109">
        <v>203100.48</v>
      </c>
      <c r="H109">
        <v>4704284</v>
      </c>
      <c r="I109">
        <v>206006.63</v>
      </c>
      <c r="J109">
        <v>5</v>
      </c>
      <c r="K109">
        <v>7</v>
      </c>
      <c r="L109" t="s">
        <v>30</v>
      </c>
      <c r="M109" t="s">
        <v>611</v>
      </c>
      <c r="N109" t="s">
        <v>612</v>
      </c>
    </row>
    <row r="110" spans="1:14" x14ac:dyDescent="0.25">
      <c r="A110" t="s">
        <v>21</v>
      </c>
      <c r="B110" t="s">
        <v>22</v>
      </c>
      <c r="C110" t="s">
        <v>16</v>
      </c>
      <c r="D110" s="13">
        <v>45338</v>
      </c>
      <c r="E110" t="s">
        <v>18</v>
      </c>
      <c r="F110">
        <v>100348.1</v>
      </c>
      <c r="G110">
        <v>162815.41</v>
      </c>
      <c r="H110">
        <v>486038.63</v>
      </c>
      <c r="I110">
        <v>96810.92</v>
      </c>
      <c r="J110">
        <v>6</v>
      </c>
      <c r="K110">
        <v>4</v>
      </c>
      <c r="L110" t="s">
        <v>30</v>
      </c>
      <c r="M110" t="s">
        <v>115</v>
      </c>
      <c r="N110" t="s">
        <v>612</v>
      </c>
    </row>
    <row r="111" spans="1:14" x14ac:dyDescent="0.25">
      <c r="A111" t="s">
        <v>27</v>
      </c>
      <c r="B111" t="s">
        <v>28</v>
      </c>
      <c r="C111" t="s">
        <v>16</v>
      </c>
      <c r="D111" s="13">
        <v>45338</v>
      </c>
      <c r="E111" t="s">
        <v>18</v>
      </c>
      <c r="F111">
        <v>112807.5</v>
      </c>
      <c r="G111">
        <v>107704.43</v>
      </c>
      <c r="H111">
        <v>321539.61</v>
      </c>
      <c r="I111">
        <v>70676.800000000003</v>
      </c>
      <c r="J111">
        <v>6</v>
      </c>
      <c r="K111">
        <v>1</v>
      </c>
      <c r="L111" t="s">
        <v>30</v>
      </c>
      <c r="M111" t="s">
        <v>115</v>
      </c>
      <c r="N111" t="s">
        <v>612</v>
      </c>
    </row>
    <row r="112" spans="1:14" x14ac:dyDescent="0.25">
      <c r="A112" t="s">
        <v>32</v>
      </c>
      <c r="B112" t="s">
        <v>33</v>
      </c>
      <c r="C112" t="s">
        <v>16</v>
      </c>
      <c r="D112" s="13">
        <v>45338</v>
      </c>
      <c r="E112" t="s">
        <v>18</v>
      </c>
      <c r="F112">
        <v>162833.4</v>
      </c>
      <c r="G112">
        <v>168961.46</v>
      </c>
      <c r="H112">
        <v>661914.97</v>
      </c>
      <c r="I112">
        <v>174914.69</v>
      </c>
      <c r="J112">
        <v>3</v>
      </c>
      <c r="K112">
        <v>3</v>
      </c>
      <c r="L112" t="s">
        <v>112</v>
      </c>
      <c r="M112" t="s">
        <v>105</v>
      </c>
      <c r="N112" t="s">
        <v>612</v>
      </c>
    </row>
    <row r="113" spans="1:14" x14ac:dyDescent="0.25">
      <c r="A113" t="s">
        <v>39</v>
      </c>
      <c r="B113" t="s">
        <v>40</v>
      </c>
      <c r="C113" t="s">
        <v>16</v>
      </c>
      <c r="D113" s="13">
        <v>45338</v>
      </c>
      <c r="E113" t="s">
        <v>18</v>
      </c>
      <c r="F113">
        <v>179060.75</v>
      </c>
      <c r="G113">
        <v>187821.15</v>
      </c>
      <c r="H113">
        <v>699405.01</v>
      </c>
      <c r="I113">
        <v>192153.66</v>
      </c>
      <c r="J113">
        <v>2</v>
      </c>
      <c r="K113">
        <v>1</v>
      </c>
      <c r="L113" t="s">
        <v>30</v>
      </c>
      <c r="M113" t="s">
        <v>115</v>
      </c>
      <c r="N113" t="s">
        <v>612</v>
      </c>
    </row>
    <row r="114" spans="1:14" x14ac:dyDescent="0.25">
      <c r="A114" t="s">
        <v>44</v>
      </c>
      <c r="B114" t="s">
        <v>45</v>
      </c>
      <c r="C114" t="s">
        <v>16</v>
      </c>
      <c r="D114" s="13">
        <v>45338</v>
      </c>
      <c r="E114" t="s">
        <v>18</v>
      </c>
      <c r="F114">
        <v>174314.07</v>
      </c>
      <c r="G114">
        <v>177184.59</v>
      </c>
      <c r="H114">
        <v>517783.95</v>
      </c>
      <c r="I114">
        <v>156956.82999999999</v>
      </c>
      <c r="J114">
        <v>5</v>
      </c>
      <c r="K114">
        <v>2</v>
      </c>
      <c r="L114" t="s">
        <v>30</v>
      </c>
      <c r="M114" t="s">
        <v>611</v>
      </c>
      <c r="N114" t="s">
        <v>612</v>
      </c>
    </row>
    <row r="115" spans="1:14" x14ac:dyDescent="0.25">
      <c r="A115" t="s">
        <v>49</v>
      </c>
      <c r="B115" t="s">
        <v>50</v>
      </c>
      <c r="C115" t="s">
        <v>51</v>
      </c>
      <c r="D115" s="13">
        <v>45338</v>
      </c>
      <c r="E115" t="s">
        <v>18</v>
      </c>
      <c r="F115">
        <v>54544.72</v>
      </c>
      <c r="G115">
        <v>88660.45</v>
      </c>
      <c r="H115">
        <v>242112.27</v>
      </c>
      <c r="I115">
        <v>65544.759999999995</v>
      </c>
      <c r="J115">
        <v>3</v>
      </c>
      <c r="K115">
        <v>6</v>
      </c>
      <c r="L115" t="s">
        <v>30</v>
      </c>
      <c r="M115" t="s">
        <v>611</v>
      </c>
      <c r="N115" t="s">
        <v>612</v>
      </c>
    </row>
    <row r="116" spans="1:14" x14ac:dyDescent="0.25">
      <c r="A116" t="s">
        <v>55</v>
      </c>
      <c r="B116" t="s">
        <v>56</v>
      </c>
      <c r="C116" t="s">
        <v>51</v>
      </c>
      <c r="D116" s="13">
        <v>45338</v>
      </c>
      <c r="E116" t="s">
        <v>18</v>
      </c>
      <c r="F116">
        <v>32742.93</v>
      </c>
      <c r="G116">
        <v>36319.29</v>
      </c>
      <c r="H116">
        <v>83185.03</v>
      </c>
      <c r="I116">
        <v>23232.37</v>
      </c>
      <c r="J116">
        <v>6</v>
      </c>
      <c r="K116">
        <v>3</v>
      </c>
      <c r="L116" t="s">
        <v>30</v>
      </c>
      <c r="M116" t="s">
        <v>31</v>
      </c>
      <c r="N116" t="s">
        <v>612</v>
      </c>
    </row>
    <row r="117" spans="1:14" x14ac:dyDescent="0.25">
      <c r="A117" t="s">
        <v>59</v>
      </c>
      <c r="B117" t="s">
        <v>60</v>
      </c>
      <c r="C117" t="s">
        <v>51</v>
      </c>
      <c r="D117" s="13">
        <v>45338</v>
      </c>
      <c r="E117" t="s">
        <v>18</v>
      </c>
      <c r="F117">
        <v>81499.520000000004</v>
      </c>
      <c r="G117">
        <v>42109.79</v>
      </c>
      <c r="H117">
        <v>238236.47</v>
      </c>
      <c r="I117">
        <v>62659.47</v>
      </c>
      <c r="J117">
        <v>5</v>
      </c>
      <c r="K117">
        <v>6</v>
      </c>
      <c r="L117" t="s">
        <v>112</v>
      </c>
      <c r="M117" t="s">
        <v>105</v>
      </c>
      <c r="N117" t="s">
        <v>612</v>
      </c>
    </row>
    <row r="118" spans="1:14" x14ac:dyDescent="0.25">
      <c r="A118" t="s">
        <v>62</v>
      </c>
      <c r="B118" t="s">
        <v>63</v>
      </c>
      <c r="C118" t="s">
        <v>51</v>
      </c>
      <c r="D118" s="13">
        <v>45338</v>
      </c>
      <c r="E118" t="s">
        <v>18</v>
      </c>
      <c r="F118">
        <v>390641</v>
      </c>
      <c r="G118">
        <v>35765.589999999997</v>
      </c>
      <c r="H118">
        <v>134099.15</v>
      </c>
      <c r="I118">
        <v>39337.760000000002</v>
      </c>
      <c r="J118">
        <v>5</v>
      </c>
      <c r="K118">
        <v>8</v>
      </c>
      <c r="L118" t="s">
        <v>112</v>
      </c>
      <c r="M118" t="s">
        <v>611</v>
      </c>
      <c r="N118" t="s">
        <v>612</v>
      </c>
    </row>
    <row r="119" spans="1:14" x14ac:dyDescent="0.25">
      <c r="A119" t="s">
        <v>66</v>
      </c>
      <c r="B119" t="s">
        <v>67</v>
      </c>
      <c r="C119" t="s">
        <v>51</v>
      </c>
      <c r="D119" s="13">
        <v>45338</v>
      </c>
      <c r="E119" t="s">
        <v>18</v>
      </c>
      <c r="F119">
        <v>84586.4</v>
      </c>
      <c r="G119">
        <v>74614.080000000002</v>
      </c>
      <c r="H119">
        <v>322355.69</v>
      </c>
      <c r="I119">
        <v>91988.3</v>
      </c>
      <c r="J119">
        <v>3</v>
      </c>
      <c r="K119">
        <v>2</v>
      </c>
      <c r="L119" t="s">
        <v>30</v>
      </c>
      <c r="M119" t="s">
        <v>26</v>
      </c>
      <c r="N119" t="s">
        <v>612</v>
      </c>
    </row>
    <row r="120" spans="1:14" x14ac:dyDescent="0.25">
      <c r="A120" t="s">
        <v>68</v>
      </c>
      <c r="B120" t="s">
        <v>69</v>
      </c>
      <c r="C120" t="s">
        <v>51</v>
      </c>
      <c r="D120" s="13">
        <v>45338</v>
      </c>
      <c r="E120" t="s">
        <v>18</v>
      </c>
      <c r="F120">
        <v>81493.149999999994</v>
      </c>
      <c r="G120">
        <v>87839.49</v>
      </c>
      <c r="H120">
        <v>286301.39</v>
      </c>
      <c r="I120">
        <v>74702.009999999995</v>
      </c>
      <c r="J120">
        <v>6</v>
      </c>
      <c r="K120">
        <v>2</v>
      </c>
      <c r="L120" t="s">
        <v>30</v>
      </c>
      <c r="M120" t="s">
        <v>105</v>
      </c>
      <c r="N120" t="s">
        <v>612</v>
      </c>
    </row>
    <row r="121" spans="1:14" x14ac:dyDescent="0.25">
      <c r="A121" t="s">
        <v>74</v>
      </c>
      <c r="B121" t="s">
        <v>75</v>
      </c>
      <c r="C121" t="s">
        <v>51</v>
      </c>
      <c r="D121" s="13">
        <v>45338</v>
      </c>
      <c r="E121" t="s">
        <v>18</v>
      </c>
      <c r="F121">
        <v>892087</v>
      </c>
      <c r="G121">
        <v>91630.97</v>
      </c>
      <c r="H121">
        <v>260850.99</v>
      </c>
      <c r="I121">
        <v>77303.94</v>
      </c>
      <c r="J121">
        <v>3</v>
      </c>
      <c r="K121">
        <v>8</v>
      </c>
      <c r="L121" t="s">
        <v>112</v>
      </c>
      <c r="M121" t="s">
        <v>611</v>
      </c>
      <c r="N121" t="s">
        <v>613</v>
      </c>
    </row>
    <row r="122" spans="1:14" x14ac:dyDescent="0.25">
      <c r="A122" t="s">
        <v>78</v>
      </c>
      <c r="B122" t="s">
        <v>79</v>
      </c>
      <c r="C122" t="s">
        <v>137</v>
      </c>
      <c r="D122" s="13">
        <v>45338</v>
      </c>
      <c r="E122" t="s">
        <v>18</v>
      </c>
      <c r="F122">
        <v>16080.48</v>
      </c>
      <c r="G122">
        <v>16594.72</v>
      </c>
      <c r="H122">
        <v>73755.14</v>
      </c>
      <c r="I122">
        <v>24516.9</v>
      </c>
      <c r="J122">
        <v>7</v>
      </c>
      <c r="K122">
        <v>11</v>
      </c>
      <c r="L122" t="s">
        <v>30</v>
      </c>
      <c r="M122" t="s">
        <v>611</v>
      </c>
      <c r="N122" t="s">
        <v>612</v>
      </c>
    </row>
    <row r="123" spans="1:14" x14ac:dyDescent="0.25">
      <c r="A123" t="s">
        <v>82</v>
      </c>
      <c r="B123" t="s">
        <v>83</v>
      </c>
      <c r="C123" t="s">
        <v>137</v>
      </c>
      <c r="D123" s="13">
        <v>45338</v>
      </c>
      <c r="E123" t="s">
        <v>18</v>
      </c>
      <c r="F123">
        <v>46528.69</v>
      </c>
      <c r="G123">
        <v>22087.87</v>
      </c>
      <c r="H123">
        <v>207465.39</v>
      </c>
      <c r="I123">
        <v>45390.01</v>
      </c>
      <c r="J123">
        <v>10</v>
      </c>
      <c r="K123">
        <v>6</v>
      </c>
      <c r="L123" t="s">
        <v>112</v>
      </c>
      <c r="M123" t="s">
        <v>611</v>
      </c>
      <c r="N123" t="s">
        <v>612</v>
      </c>
    </row>
    <row r="124" spans="1:14" x14ac:dyDescent="0.25">
      <c r="A124" t="s">
        <v>84</v>
      </c>
      <c r="B124" t="s">
        <v>85</v>
      </c>
      <c r="C124" t="s">
        <v>137</v>
      </c>
      <c r="D124" s="13">
        <v>45338</v>
      </c>
      <c r="E124" t="s">
        <v>18</v>
      </c>
      <c r="F124">
        <v>25115.32</v>
      </c>
      <c r="G124">
        <v>28124.83</v>
      </c>
      <c r="H124">
        <v>85436.07</v>
      </c>
      <c r="I124">
        <v>29074.17</v>
      </c>
      <c r="J124">
        <v>9</v>
      </c>
      <c r="K124">
        <v>7</v>
      </c>
      <c r="L124" t="s">
        <v>30</v>
      </c>
      <c r="M124" t="s">
        <v>611</v>
      </c>
      <c r="N124" t="s">
        <v>612</v>
      </c>
    </row>
    <row r="125" spans="1:14" x14ac:dyDescent="0.25">
      <c r="A125" t="s">
        <v>87</v>
      </c>
      <c r="B125" t="s">
        <v>88</v>
      </c>
      <c r="C125" t="s">
        <v>137</v>
      </c>
      <c r="D125" s="13">
        <v>45338</v>
      </c>
      <c r="E125" t="s">
        <v>18</v>
      </c>
      <c r="F125">
        <v>24116.959999999999</v>
      </c>
      <c r="G125">
        <v>27546.86</v>
      </c>
      <c r="H125">
        <v>83519.33</v>
      </c>
      <c r="I125">
        <v>20539.57</v>
      </c>
      <c r="J125">
        <v>3</v>
      </c>
      <c r="K125">
        <v>15</v>
      </c>
      <c r="L125" t="s">
        <v>30</v>
      </c>
      <c r="M125" t="s">
        <v>611</v>
      </c>
      <c r="N125" t="s">
        <v>612</v>
      </c>
    </row>
    <row r="126" spans="1:14" x14ac:dyDescent="0.25">
      <c r="A126" t="s">
        <v>90</v>
      </c>
      <c r="B126" t="s">
        <v>91</v>
      </c>
      <c r="C126" t="s">
        <v>137</v>
      </c>
      <c r="D126" s="13">
        <v>45338</v>
      </c>
      <c r="E126" t="s">
        <v>18</v>
      </c>
      <c r="F126">
        <v>16093.31</v>
      </c>
      <c r="G126">
        <v>18367.830000000002</v>
      </c>
      <c r="H126">
        <v>50359.98</v>
      </c>
      <c r="I126">
        <v>14415.83</v>
      </c>
      <c r="J126">
        <v>11</v>
      </c>
      <c r="K126">
        <v>7</v>
      </c>
      <c r="L126" t="s">
        <v>30</v>
      </c>
      <c r="M126" t="s">
        <v>611</v>
      </c>
      <c r="N126" t="s">
        <v>612</v>
      </c>
    </row>
    <row r="127" spans="1:14" x14ac:dyDescent="0.25">
      <c r="A127" t="s">
        <v>93</v>
      </c>
      <c r="B127" t="s">
        <v>94</v>
      </c>
      <c r="C127" t="s">
        <v>137</v>
      </c>
      <c r="D127" s="13">
        <v>45338</v>
      </c>
      <c r="E127" t="s">
        <v>18</v>
      </c>
      <c r="F127">
        <v>41947.6</v>
      </c>
      <c r="G127">
        <v>20042.8</v>
      </c>
      <c r="H127">
        <v>168127.17</v>
      </c>
      <c r="I127">
        <v>43953.77</v>
      </c>
      <c r="J127">
        <v>4</v>
      </c>
      <c r="K127">
        <v>7</v>
      </c>
      <c r="L127" t="s">
        <v>112</v>
      </c>
      <c r="M127" t="s">
        <v>101</v>
      </c>
      <c r="N127" t="s">
        <v>612</v>
      </c>
    </row>
    <row r="128" spans="1:14" x14ac:dyDescent="0.25">
      <c r="A128" t="s">
        <v>96</v>
      </c>
      <c r="B128" t="s">
        <v>97</v>
      </c>
      <c r="C128" t="s">
        <v>137</v>
      </c>
      <c r="D128" s="13">
        <v>45338</v>
      </c>
      <c r="E128" t="s">
        <v>18</v>
      </c>
      <c r="F128">
        <v>22731.99</v>
      </c>
      <c r="G128">
        <v>24797.33</v>
      </c>
      <c r="H128">
        <v>58359.6</v>
      </c>
      <c r="I128">
        <v>19860.11</v>
      </c>
      <c r="J128">
        <v>5</v>
      </c>
      <c r="K128">
        <v>10</v>
      </c>
      <c r="L128" t="s">
        <v>30</v>
      </c>
      <c r="M128" t="s">
        <v>611</v>
      </c>
      <c r="N128" t="s">
        <v>612</v>
      </c>
    </row>
    <row r="129" spans="1:14" x14ac:dyDescent="0.25">
      <c r="A129" t="s">
        <v>14</v>
      </c>
      <c r="B129" t="s">
        <v>15</v>
      </c>
      <c r="C129" t="s">
        <v>16</v>
      </c>
      <c r="D129" s="13">
        <v>45345</v>
      </c>
      <c r="E129" t="s">
        <v>18</v>
      </c>
      <c r="F129">
        <v>90355.12</v>
      </c>
      <c r="G129">
        <v>97449.09</v>
      </c>
      <c r="H129">
        <v>357409.62</v>
      </c>
      <c r="I129">
        <v>120445</v>
      </c>
      <c r="J129">
        <v>6</v>
      </c>
      <c r="K129">
        <v>8</v>
      </c>
      <c r="L129" t="s">
        <v>30</v>
      </c>
      <c r="M129" t="s">
        <v>611</v>
      </c>
      <c r="N129" t="s">
        <v>612</v>
      </c>
    </row>
    <row r="130" spans="1:14" x14ac:dyDescent="0.25">
      <c r="A130" t="s">
        <v>21</v>
      </c>
      <c r="B130" t="s">
        <v>22</v>
      </c>
      <c r="C130" t="s">
        <v>16</v>
      </c>
      <c r="D130" s="13">
        <v>45345</v>
      </c>
      <c r="E130" t="s">
        <v>18</v>
      </c>
      <c r="F130">
        <v>99799.44</v>
      </c>
      <c r="G130">
        <v>153578.17000000001</v>
      </c>
      <c r="H130">
        <v>376911.62</v>
      </c>
      <c r="I130">
        <v>105040.79</v>
      </c>
      <c r="J130">
        <v>5</v>
      </c>
      <c r="K130">
        <v>4</v>
      </c>
      <c r="L130" t="s">
        <v>30</v>
      </c>
      <c r="M130" t="s">
        <v>611</v>
      </c>
      <c r="N130" t="s">
        <v>612</v>
      </c>
    </row>
    <row r="131" spans="1:14" x14ac:dyDescent="0.25">
      <c r="A131" t="s">
        <v>27</v>
      </c>
      <c r="B131" t="s">
        <v>28</v>
      </c>
      <c r="C131" t="s">
        <v>16</v>
      </c>
      <c r="D131" s="13">
        <v>45345</v>
      </c>
      <c r="E131" t="s">
        <v>18</v>
      </c>
      <c r="F131">
        <v>92019.67</v>
      </c>
      <c r="G131">
        <v>96897.71</v>
      </c>
      <c r="H131">
        <v>310181.90000000002</v>
      </c>
      <c r="I131">
        <v>97188.02</v>
      </c>
      <c r="J131">
        <v>5</v>
      </c>
      <c r="K131">
        <v>3</v>
      </c>
      <c r="L131" t="s">
        <v>30</v>
      </c>
      <c r="M131" t="s">
        <v>611</v>
      </c>
      <c r="N131" t="s">
        <v>612</v>
      </c>
    </row>
    <row r="132" spans="1:14" x14ac:dyDescent="0.25">
      <c r="A132" t="s">
        <v>32</v>
      </c>
      <c r="B132" t="s">
        <v>33</v>
      </c>
      <c r="C132" t="s">
        <v>16</v>
      </c>
      <c r="D132" s="13">
        <v>45345</v>
      </c>
      <c r="E132" t="s">
        <v>18</v>
      </c>
      <c r="F132">
        <v>174799.51</v>
      </c>
      <c r="G132">
        <v>165412.19</v>
      </c>
      <c r="H132">
        <v>662487.47</v>
      </c>
      <c r="I132">
        <v>156524.75</v>
      </c>
      <c r="J132">
        <v>4</v>
      </c>
      <c r="K132">
        <v>4</v>
      </c>
      <c r="L132" t="s">
        <v>112</v>
      </c>
      <c r="M132" t="s">
        <v>611</v>
      </c>
      <c r="N132" t="s">
        <v>612</v>
      </c>
    </row>
    <row r="133" spans="1:14" x14ac:dyDescent="0.25">
      <c r="A133" t="s">
        <v>39</v>
      </c>
      <c r="B133" t="s">
        <v>40</v>
      </c>
      <c r="C133" t="s">
        <v>16</v>
      </c>
      <c r="D133" s="13">
        <v>45345</v>
      </c>
      <c r="E133" t="s">
        <v>18</v>
      </c>
      <c r="F133">
        <v>80623.009999999995</v>
      </c>
      <c r="G133">
        <v>76943.97</v>
      </c>
      <c r="H133">
        <v>353194.37</v>
      </c>
      <c r="I133">
        <v>67331.509999999995</v>
      </c>
      <c r="J133">
        <v>1</v>
      </c>
      <c r="K133">
        <v>5</v>
      </c>
      <c r="L133" t="s">
        <v>30</v>
      </c>
      <c r="M133" t="s">
        <v>611</v>
      </c>
      <c r="N133" t="s">
        <v>612</v>
      </c>
    </row>
    <row r="134" spans="1:14" x14ac:dyDescent="0.25">
      <c r="A134" t="s">
        <v>44</v>
      </c>
      <c r="B134" t="s">
        <v>45</v>
      </c>
      <c r="C134" t="s">
        <v>16</v>
      </c>
      <c r="D134" s="13">
        <v>45345</v>
      </c>
      <c r="E134" t="s">
        <v>18</v>
      </c>
      <c r="F134">
        <v>165583.18</v>
      </c>
      <c r="G134">
        <v>167888.22</v>
      </c>
      <c r="H134">
        <v>559664.9</v>
      </c>
      <c r="I134">
        <v>117154.47</v>
      </c>
      <c r="J134">
        <v>6</v>
      </c>
      <c r="K134">
        <v>6</v>
      </c>
      <c r="L134" t="s">
        <v>30</v>
      </c>
      <c r="M134" t="s">
        <v>611</v>
      </c>
      <c r="N134" t="s">
        <v>612</v>
      </c>
    </row>
    <row r="135" spans="1:14" x14ac:dyDescent="0.25">
      <c r="A135" t="s">
        <v>49</v>
      </c>
      <c r="B135" t="s">
        <v>50</v>
      </c>
      <c r="C135" t="s">
        <v>51</v>
      </c>
      <c r="D135" s="13">
        <v>45345</v>
      </c>
      <c r="E135" t="s">
        <v>18</v>
      </c>
      <c r="F135">
        <v>49845.46</v>
      </c>
      <c r="G135">
        <v>83745.039999999994</v>
      </c>
      <c r="H135">
        <v>193763.31</v>
      </c>
      <c r="I135">
        <v>39498.730000000003</v>
      </c>
      <c r="J135">
        <v>3</v>
      </c>
      <c r="K135">
        <v>3</v>
      </c>
      <c r="L135" t="s">
        <v>30</v>
      </c>
      <c r="M135" t="s">
        <v>611</v>
      </c>
      <c r="N135" t="s">
        <v>612</v>
      </c>
    </row>
    <row r="136" spans="1:14" x14ac:dyDescent="0.25">
      <c r="A136" t="s">
        <v>55</v>
      </c>
      <c r="B136" t="s">
        <v>56</v>
      </c>
      <c r="C136" t="s">
        <v>51</v>
      </c>
      <c r="D136" s="13">
        <v>45345</v>
      </c>
      <c r="E136" t="s">
        <v>18</v>
      </c>
      <c r="F136">
        <v>54937.83</v>
      </c>
      <c r="G136">
        <v>60539.7</v>
      </c>
      <c r="H136">
        <v>160315.92000000001</v>
      </c>
      <c r="I136">
        <v>50547.57</v>
      </c>
      <c r="J136">
        <v>2</v>
      </c>
      <c r="K136">
        <v>8</v>
      </c>
      <c r="L136" t="s">
        <v>30</v>
      </c>
      <c r="M136" t="s">
        <v>611</v>
      </c>
      <c r="N136" t="s">
        <v>612</v>
      </c>
    </row>
    <row r="137" spans="1:14" x14ac:dyDescent="0.25">
      <c r="A137" t="s">
        <v>59</v>
      </c>
      <c r="B137" t="s">
        <v>60</v>
      </c>
      <c r="C137" t="s">
        <v>51</v>
      </c>
      <c r="D137" s="13">
        <v>45345</v>
      </c>
      <c r="E137" t="s">
        <v>18</v>
      </c>
      <c r="F137">
        <v>102265.56</v>
      </c>
      <c r="G137">
        <v>57911</v>
      </c>
      <c r="H137">
        <v>449969.51</v>
      </c>
      <c r="I137">
        <v>97711.84</v>
      </c>
      <c r="J137">
        <v>4</v>
      </c>
      <c r="K137">
        <v>1</v>
      </c>
      <c r="L137" t="s">
        <v>30</v>
      </c>
      <c r="M137" t="s">
        <v>105</v>
      </c>
      <c r="N137" t="s">
        <v>612</v>
      </c>
    </row>
    <row r="138" spans="1:14" x14ac:dyDescent="0.25">
      <c r="A138" t="s">
        <v>62</v>
      </c>
      <c r="B138" t="s">
        <v>63</v>
      </c>
      <c r="C138" t="s">
        <v>51</v>
      </c>
      <c r="D138" s="13">
        <v>45345</v>
      </c>
      <c r="E138" t="s">
        <v>18</v>
      </c>
      <c r="F138">
        <v>74256.78</v>
      </c>
      <c r="G138">
        <v>78470.11</v>
      </c>
      <c r="H138">
        <v>216455.1</v>
      </c>
      <c r="I138">
        <v>46564.98</v>
      </c>
      <c r="J138">
        <v>2</v>
      </c>
      <c r="K138">
        <v>7</v>
      </c>
      <c r="L138" t="s">
        <v>30</v>
      </c>
      <c r="M138" t="s">
        <v>611</v>
      </c>
      <c r="N138" t="s">
        <v>612</v>
      </c>
    </row>
    <row r="139" spans="1:14" x14ac:dyDescent="0.25">
      <c r="A139" t="s">
        <v>66</v>
      </c>
      <c r="B139" t="s">
        <v>67</v>
      </c>
      <c r="C139" t="s">
        <v>51</v>
      </c>
      <c r="D139" s="13">
        <v>45345</v>
      </c>
      <c r="E139" t="s">
        <v>18</v>
      </c>
      <c r="F139">
        <v>70757.960000000006</v>
      </c>
      <c r="G139">
        <v>62165.65</v>
      </c>
      <c r="H139">
        <v>339420.39</v>
      </c>
      <c r="I139">
        <v>111125.59</v>
      </c>
      <c r="J139">
        <v>2</v>
      </c>
      <c r="K139">
        <v>7</v>
      </c>
      <c r="L139" t="s">
        <v>30</v>
      </c>
      <c r="M139" t="s">
        <v>611</v>
      </c>
      <c r="N139" t="s">
        <v>612</v>
      </c>
    </row>
    <row r="140" spans="1:14" x14ac:dyDescent="0.25">
      <c r="A140" t="s">
        <v>68</v>
      </c>
      <c r="B140" t="s">
        <v>69</v>
      </c>
      <c r="C140" t="s">
        <v>51</v>
      </c>
      <c r="D140" s="13">
        <v>45345</v>
      </c>
      <c r="E140" t="s">
        <v>18</v>
      </c>
      <c r="F140">
        <v>34530.980000000003</v>
      </c>
      <c r="G140">
        <v>37582.81</v>
      </c>
      <c r="H140">
        <v>121104.52</v>
      </c>
      <c r="I140">
        <v>36101.21</v>
      </c>
      <c r="J140">
        <v>3</v>
      </c>
      <c r="K140">
        <v>2</v>
      </c>
      <c r="L140" t="s">
        <v>30</v>
      </c>
      <c r="M140" t="s">
        <v>611</v>
      </c>
      <c r="N140" t="s">
        <v>612</v>
      </c>
    </row>
    <row r="141" spans="1:14" x14ac:dyDescent="0.25">
      <c r="A141" t="s">
        <v>74</v>
      </c>
      <c r="B141" t="s">
        <v>75</v>
      </c>
      <c r="C141" t="s">
        <v>51</v>
      </c>
      <c r="D141" s="13">
        <v>45345</v>
      </c>
      <c r="E141" t="s">
        <v>18</v>
      </c>
      <c r="F141">
        <v>88087.71</v>
      </c>
      <c r="G141">
        <v>96672.24</v>
      </c>
      <c r="H141">
        <v>279356</v>
      </c>
      <c r="I141">
        <v>66324.31</v>
      </c>
      <c r="J141">
        <v>5</v>
      </c>
      <c r="K141">
        <v>8</v>
      </c>
      <c r="L141" t="s">
        <v>30</v>
      </c>
      <c r="M141" t="s">
        <v>611</v>
      </c>
      <c r="N141" t="s">
        <v>612</v>
      </c>
    </row>
    <row r="142" spans="1:14" x14ac:dyDescent="0.25">
      <c r="A142" t="s">
        <v>82</v>
      </c>
      <c r="B142" t="s">
        <v>83</v>
      </c>
      <c r="C142" t="s">
        <v>137</v>
      </c>
      <c r="D142" s="13">
        <v>45345</v>
      </c>
      <c r="E142" t="s">
        <v>18</v>
      </c>
      <c r="F142">
        <v>17678.96</v>
      </c>
      <c r="G142">
        <v>9888.27</v>
      </c>
      <c r="H142">
        <v>82844.63</v>
      </c>
      <c r="I142">
        <v>16226.6</v>
      </c>
      <c r="J142">
        <v>7</v>
      </c>
      <c r="K142">
        <v>4</v>
      </c>
      <c r="L142" t="s">
        <v>30</v>
      </c>
      <c r="M142" t="s">
        <v>127</v>
      </c>
      <c r="N142" t="s">
        <v>612</v>
      </c>
    </row>
    <row r="143" spans="1:14" x14ac:dyDescent="0.25">
      <c r="A143" t="s">
        <v>87</v>
      </c>
      <c r="B143" t="s">
        <v>88</v>
      </c>
      <c r="C143" t="s">
        <v>137</v>
      </c>
      <c r="D143" s="13">
        <v>45345</v>
      </c>
      <c r="E143" t="s">
        <v>18</v>
      </c>
      <c r="F143">
        <v>11582.89</v>
      </c>
      <c r="G143">
        <v>9997.14</v>
      </c>
      <c r="H143">
        <v>1375.06</v>
      </c>
      <c r="I143">
        <v>275.7</v>
      </c>
      <c r="J143">
        <v>8</v>
      </c>
      <c r="K143">
        <v>12</v>
      </c>
      <c r="L143" t="s">
        <v>30</v>
      </c>
      <c r="M143" t="s">
        <v>611</v>
      </c>
      <c r="N143" t="s">
        <v>613</v>
      </c>
    </row>
    <row r="144" spans="1:14" x14ac:dyDescent="0.25">
      <c r="A144" t="s">
        <v>90</v>
      </c>
      <c r="B144" t="s">
        <v>91</v>
      </c>
      <c r="C144" t="s">
        <v>137</v>
      </c>
      <c r="D144" s="13">
        <v>45345</v>
      </c>
      <c r="E144" t="s">
        <v>18</v>
      </c>
      <c r="F144">
        <v>28335.26</v>
      </c>
      <c r="G144">
        <v>23137.81</v>
      </c>
      <c r="H144">
        <v>80957.600000000006</v>
      </c>
      <c r="I144">
        <v>14689</v>
      </c>
      <c r="J144">
        <v>12</v>
      </c>
      <c r="K144">
        <v>12</v>
      </c>
      <c r="L144" t="s">
        <v>30</v>
      </c>
      <c r="M144" t="s">
        <v>127</v>
      </c>
      <c r="N144" t="s">
        <v>612</v>
      </c>
    </row>
    <row r="145" spans="1:14" x14ac:dyDescent="0.25">
      <c r="A145" t="s">
        <v>93</v>
      </c>
      <c r="B145" t="s">
        <v>94</v>
      </c>
      <c r="C145" t="s">
        <v>137</v>
      </c>
      <c r="D145" s="13">
        <v>45345</v>
      </c>
      <c r="E145" t="s">
        <v>18</v>
      </c>
      <c r="F145">
        <v>15120.94</v>
      </c>
      <c r="G145">
        <v>7993.59</v>
      </c>
      <c r="H145">
        <v>43088.26</v>
      </c>
      <c r="I145">
        <v>8373.01</v>
      </c>
      <c r="J145">
        <v>10</v>
      </c>
      <c r="K145">
        <v>14</v>
      </c>
      <c r="L145" t="s">
        <v>30</v>
      </c>
      <c r="M145" t="s">
        <v>115</v>
      </c>
      <c r="N145" t="s">
        <v>612</v>
      </c>
    </row>
    <row r="146" spans="1:14" x14ac:dyDescent="0.25">
      <c r="A146" t="s">
        <v>96</v>
      </c>
      <c r="B146" t="s">
        <v>97</v>
      </c>
      <c r="C146" t="s">
        <v>137</v>
      </c>
      <c r="D146" s="13">
        <v>45345</v>
      </c>
      <c r="E146" t="s">
        <v>18</v>
      </c>
      <c r="F146">
        <v>29432.01</v>
      </c>
      <c r="G146">
        <v>25596.15</v>
      </c>
      <c r="H146">
        <v>81875.7</v>
      </c>
      <c r="I146">
        <v>23004.46</v>
      </c>
      <c r="J146">
        <v>10</v>
      </c>
      <c r="K146">
        <v>8</v>
      </c>
      <c r="L146" t="s">
        <v>112</v>
      </c>
      <c r="M146" t="s">
        <v>611</v>
      </c>
      <c r="N146" t="s">
        <v>612</v>
      </c>
    </row>
    <row r="147" spans="1:14" x14ac:dyDescent="0.25">
      <c r="A147" t="s">
        <v>14</v>
      </c>
      <c r="B147" t="s">
        <v>15</v>
      </c>
      <c r="C147" t="s">
        <v>16</v>
      </c>
      <c r="D147" s="13">
        <v>45352</v>
      </c>
      <c r="E147" t="s">
        <v>18</v>
      </c>
      <c r="F147">
        <v>187851.39</v>
      </c>
      <c r="G147">
        <v>173324.9</v>
      </c>
      <c r="H147">
        <v>476106.25</v>
      </c>
      <c r="I147">
        <v>160370.91</v>
      </c>
      <c r="J147">
        <v>4</v>
      </c>
      <c r="K147">
        <v>2</v>
      </c>
      <c r="L147" t="s">
        <v>30</v>
      </c>
      <c r="M147" t="s">
        <v>611</v>
      </c>
      <c r="N147" t="s">
        <v>612</v>
      </c>
    </row>
    <row r="148" spans="1:14" x14ac:dyDescent="0.25">
      <c r="A148" t="s">
        <v>21</v>
      </c>
      <c r="B148" t="s">
        <v>22</v>
      </c>
      <c r="C148" t="s">
        <v>16</v>
      </c>
      <c r="D148" s="13">
        <v>45352</v>
      </c>
      <c r="E148" t="s">
        <v>18</v>
      </c>
      <c r="F148">
        <v>166052.1</v>
      </c>
      <c r="G148">
        <v>278720.74</v>
      </c>
      <c r="H148">
        <v>543890.98</v>
      </c>
      <c r="I148">
        <v>186055.72</v>
      </c>
      <c r="J148">
        <v>2</v>
      </c>
      <c r="K148">
        <v>2</v>
      </c>
      <c r="L148" t="s">
        <v>30</v>
      </c>
      <c r="M148" t="s">
        <v>113</v>
      </c>
      <c r="N148" t="s">
        <v>612</v>
      </c>
    </row>
    <row r="149" spans="1:14" x14ac:dyDescent="0.25">
      <c r="A149" t="s">
        <v>27</v>
      </c>
      <c r="B149" t="s">
        <v>28</v>
      </c>
      <c r="C149" t="s">
        <v>16</v>
      </c>
      <c r="D149" s="13">
        <v>45352</v>
      </c>
      <c r="E149" t="s">
        <v>18</v>
      </c>
      <c r="F149">
        <v>178209.95</v>
      </c>
      <c r="G149">
        <v>168624.61</v>
      </c>
      <c r="H149">
        <v>678536.76</v>
      </c>
      <c r="I149">
        <v>205277.82</v>
      </c>
      <c r="J149">
        <v>2</v>
      </c>
      <c r="K149">
        <v>6</v>
      </c>
      <c r="L149" t="s">
        <v>30</v>
      </c>
      <c r="M149" t="s">
        <v>26</v>
      </c>
      <c r="N149" t="s">
        <v>612</v>
      </c>
    </row>
    <row r="150" spans="1:14" x14ac:dyDescent="0.25">
      <c r="A150" t="s">
        <v>32</v>
      </c>
      <c r="B150" t="s">
        <v>33</v>
      </c>
      <c r="C150" t="s">
        <v>16</v>
      </c>
      <c r="D150" s="13">
        <v>45352</v>
      </c>
      <c r="E150" t="s">
        <v>18</v>
      </c>
      <c r="F150">
        <v>151509.46</v>
      </c>
      <c r="G150">
        <v>140732.63</v>
      </c>
      <c r="H150">
        <v>518044.1</v>
      </c>
      <c r="I150">
        <v>102310.52</v>
      </c>
      <c r="J150">
        <v>5</v>
      </c>
      <c r="K150">
        <v>3</v>
      </c>
      <c r="L150" t="s">
        <v>30</v>
      </c>
      <c r="M150" t="s">
        <v>125</v>
      </c>
      <c r="N150" t="s">
        <v>612</v>
      </c>
    </row>
    <row r="151" spans="1:14" x14ac:dyDescent="0.25">
      <c r="A151" t="s">
        <v>39</v>
      </c>
      <c r="B151" t="s">
        <v>40</v>
      </c>
      <c r="C151" t="s">
        <v>16</v>
      </c>
      <c r="D151" s="13">
        <v>45352</v>
      </c>
      <c r="E151" t="s">
        <v>18</v>
      </c>
      <c r="F151">
        <v>200047.93</v>
      </c>
      <c r="G151">
        <v>201740.01</v>
      </c>
      <c r="H151">
        <v>612404.38</v>
      </c>
      <c r="I151">
        <v>205581.28</v>
      </c>
      <c r="J151">
        <v>3</v>
      </c>
      <c r="K151">
        <v>7</v>
      </c>
      <c r="L151" t="s">
        <v>30</v>
      </c>
      <c r="M151" t="s">
        <v>611</v>
      </c>
      <c r="N151" t="s">
        <v>612</v>
      </c>
    </row>
    <row r="152" spans="1:14" x14ac:dyDescent="0.25">
      <c r="A152" t="s">
        <v>44</v>
      </c>
      <c r="B152" t="s">
        <v>45</v>
      </c>
      <c r="C152" t="s">
        <v>16</v>
      </c>
      <c r="D152" s="13">
        <v>45352</v>
      </c>
      <c r="E152" t="s">
        <v>18</v>
      </c>
      <c r="F152">
        <v>145113.18</v>
      </c>
      <c r="G152">
        <v>140058.76</v>
      </c>
      <c r="H152">
        <v>481522.16</v>
      </c>
      <c r="I152">
        <v>87326.34</v>
      </c>
      <c r="J152">
        <v>2</v>
      </c>
      <c r="K152">
        <v>5</v>
      </c>
      <c r="L152" t="s">
        <v>30</v>
      </c>
      <c r="M152" t="s">
        <v>105</v>
      </c>
      <c r="N152" t="s">
        <v>612</v>
      </c>
    </row>
    <row r="153" spans="1:14" x14ac:dyDescent="0.25">
      <c r="A153" t="s">
        <v>49</v>
      </c>
      <c r="B153" t="s">
        <v>50</v>
      </c>
      <c r="C153" t="s">
        <v>51</v>
      </c>
      <c r="D153" s="13">
        <v>45352</v>
      </c>
      <c r="E153" t="s">
        <v>18</v>
      </c>
      <c r="F153">
        <v>64100.83</v>
      </c>
      <c r="G153">
        <v>111330.92</v>
      </c>
      <c r="H153">
        <v>11631.79</v>
      </c>
      <c r="I153">
        <v>3772.55</v>
      </c>
      <c r="J153">
        <v>6</v>
      </c>
      <c r="K153">
        <v>1</v>
      </c>
      <c r="L153" t="s">
        <v>30</v>
      </c>
      <c r="M153" t="s">
        <v>105</v>
      </c>
      <c r="N153" t="s">
        <v>613</v>
      </c>
    </row>
    <row r="154" spans="1:14" x14ac:dyDescent="0.25">
      <c r="A154" t="s">
        <v>55</v>
      </c>
      <c r="B154" t="s">
        <v>56</v>
      </c>
      <c r="C154" t="s">
        <v>51</v>
      </c>
      <c r="D154" s="13">
        <v>45352</v>
      </c>
      <c r="E154" t="s">
        <v>18</v>
      </c>
      <c r="F154">
        <v>61185.55</v>
      </c>
      <c r="G154">
        <v>64872.23</v>
      </c>
      <c r="H154">
        <v>223091.4</v>
      </c>
      <c r="I154">
        <v>62182.49</v>
      </c>
      <c r="J154">
        <v>5</v>
      </c>
      <c r="K154">
        <v>6</v>
      </c>
      <c r="L154" t="s">
        <v>30</v>
      </c>
      <c r="M154" t="s">
        <v>611</v>
      </c>
      <c r="N154" t="s">
        <v>612</v>
      </c>
    </row>
    <row r="155" spans="1:14" x14ac:dyDescent="0.25">
      <c r="A155" t="s">
        <v>59</v>
      </c>
      <c r="B155" t="s">
        <v>60</v>
      </c>
      <c r="C155" t="s">
        <v>51</v>
      </c>
      <c r="D155" s="13">
        <v>45352</v>
      </c>
      <c r="E155" t="s">
        <v>18</v>
      </c>
      <c r="F155">
        <v>98373.29</v>
      </c>
      <c r="G155">
        <v>48898.43</v>
      </c>
      <c r="H155">
        <v>279407.65999999997</v>
      </c>
      <c r="I155">
        <v>55469.51</v>
      </c>
      <c r="J155">
        <v>1</v>
      </c>
      <c r="K155">
        <v>4</v>
      </c>
      <c r="L155" t="s">
        <v>30</v>
      </c>
      <c r="M155" t="s">
        <v>127</v>
      </c>
      <c r="N155" t="s">
        <v>612</v>
      </c>
    </row>
    <row r="156" spans="1:14" x14ac:dyDescent="0.25">
      <c r="A156" t="s">
        <v>62</v>
      </c>
      <c r="B156" t="s">
        <v>63</v>
      </c>
      <c r="C156" t="s">
        <v>51</v>
      </c>
      <c r="D156" s="13">
        <v>45352</v>
      </c>
      <c r="E156" t="s">
        <v>18</v>
      </c>
      <c r="F156">
        <v>78455.81</v>
      </c>
      <c r="G156">
        <v>73847.67</v>
      </c>
      <c r="H156">
        <v>238313</v>
      </c>
      <c r="I156">
        <v>48905.54</v>
      </c>
      <c r="J156">
        <v>6</v>
      </c>
      <c r="K156">
        <v>1</v>
      </c>
      <c r="L156" t="s">
        <v>30</v>
      </c>
      <c r="M156" t="s">
        <v>611</v>
      </c>
      <c r="N156" t="s">
        <v>612</v>
      </c>
    </row>
    <row r="157" spans="1:14" x14ac:dyDescent="0.25">
      <c r="A157" t="s">
        <v>66</v>
      </c>
      <c r="B157" t="s">
        <v>67</v>
      </c>
      <c r="C157" t="s">
        <v>51</v>
      </c>
      <c r="D157" s="13">
        <v>45352</v>
      </c>
      <c r="E157" t="s">
        <v>18</v>
      </c>
      <c r="F157">
        <v>63007.25</v>
      </c>
      <c r="G157">
        <v>55346.68</v>
      </c>
      <c r="H157">
        <v>284146</v>
      </c>
      <c r="I157">
        <v>51723.94</v>
      </c>
      <c r="J157">
        <v>2</v>
      </c>
      <c r="K157">
        <v>2</v>
      </c>
      <c r="L157" t="s">
        <v>30</v>
      </c>
      <c r="M157" t="s">
        <v>611</v>
      </c>
      <c r="N157" t="s">
        <v>612</v>
      </c>
    </row>
    <row r="158" spans="1:14" x14ac:dyDescent="0.25">
      <c r="A158" t="s">
        <v>68</v>
      </c>
      <c r="B158" t="s">
        <v>69</v>
      </c>
      <c r="C158" t="s">
        <v>51</v>
      </c>
      <c r="D158" s="13">
        <v>45352</v>
      </c>
      <c r="E158" t="s">
        <v>18</v>
      </c>
      <c r="F158">
        <v>35518.720000000001</v>
      </c>
      <c r="G158">
        <v>39219.15</v>
      </c>
      <c r="H158">
        <v>99676.86</v>
      </c>
      <c r="I158">
        <v>18799.89</v>
      </c>
      <c r="J158">
        <v>5</v>
      </c>
      <c r="K158">
        <v>6</v>
      </c>
      <c r="L158" t="s">
        <v>30</v>
      </c>
      <c r="M158" t="s">
        <v>43</v>
      </c>
      <c r="N158" t="s">
        <v>612</v>
      </c>
    </row>
    <row r="159" spans="1:14" x14ac:dyDescent="0.25">
      <c r="A159" t="s">
        <v>78</v>
      </c>
      <c r="B159" t="s">
        <v>79</v>
      </c>
      <c r="C159" t="s">
        <v>137</v>
      </c>
      <c r="D159" s="13">
        <v>45352</v>
      </c>
      <c r="E159" t="s">
        <v>18</v>
      </c>
      <c r="F159">
        <v>14636.19</v>
      </c>
      <c r="G159">
        <v>13136.75</v>
      </c>
      <c r="H159">
        <v>68891.759999999995</v>
      </c>
      <c r="I159">
        <v>13427.88</v>
      </c>
      <c r="J159">
        <v>8</v>
      </c>
      <c r="K159">
        <v>8</v>
      </c>
      <c r="L159" t="s">
        <v>30</v>
      </c>
      <c r="M159" t="s">
        <v>611</v>
      </c>
      <c r="N159" t="s">
        <v>612</v>
      </c>
    </row>
    <row r="160" spans="1:14" x14ac:dyDescent="0.25">
      <c r="A160" t="s">
        <v>82</v>
      </c>
      <c r="B160" t="s">
        <v>83</v>
      </c>
      <c r="C160" t="s">
        <v>137</v>
      </c>
      <c r="D160" s="13">
        <v>45352</v>
      </c>
      <c r="E160" t="s">
        <v>18</v>
      </c>
      <c r="F160">
        <v>28471.61</v>
      </c>
      <c r="G160">
        <v>14770.77</v>
      </c>
      <c r="H160">
        <v>73034.17</v>
      </c>
      <c r="I160">
        <v>13509.98</v>
      </c>
      <c r="J160">
        <v>6</v>
      </c>
      <c r="K160">
        <v>4</v>
      </c>
      <c r="L160" t="s">
        <v>30</v>
      </c>
      <c r="M160" t="s">
        <v>115</v>
      </c>
      <c r="N160" t="s">
        <v>612</v>
      </c>
    </row>
    <row r="161" spans="1:14" x14ac:dyDescent="0.25">
      <c r="A161" t="s">
        <v>84</v>
      </c>
      <c r="B161" t="s">
        <v>85</v>
      </c>
      <c r="C161" t="s">
        <v>137</v>
      </c>
      <c r="D161" s="13">
        <v>45352</v>
      </c>
      <c r="E161" t="s">
        <v>18</v>
      </c>
      <c r="F161">
        <v>33590.67</v>
      </c>
      <c r="G161">
        <v>34861.94</v>
      </c>
      <c r="H161">
        <v>116595.1</v>
      </c>
      <c r="I161">
        <v>40640.629999999997</v>
      </c>
      <c r="J161">
        <v>4</v>
      </c>
      <c r="K161">
        <v>14</v>
      </c>
      <c r="L161" t="s">
        <v>30</v>
      </c>
      <c r="M161" t="s">
        <v>611</v>
      </c>
      <c r="N161" t="s">
        <v>612</v>
      </c>
    </row>
    <row r="162" spans="1:14" x14ac:dyDescent="0.25">
      <c r="A162" t="s">
        <v>87</v>
      </c>
      <c r="B162" t="s">
        <v>88</v>
      </c>
      <c r="C162" t="s">
        <v>137</v>
      </c>
      <c r="D162" s="13">
        <v>45352</v>
      </c>
      <c r="E162" t="s">
        <v>18</v>
      </c>
      <c r="F162">
        <v>12740.03</v>
      </c>
      <c r="G162">
        <v>9796.85</v>
      </c>
      <c r="H162">
        <v>39259.15</v>
      </c>
      <c r="I162">
        <v>10580.19</v>
      </c>
      <c r="J162">
        <v>2</v>
      </c>
      <c r="K162">
        <v>2</v>
      </c>
      <c r="L162" t="s">
        <v>30</v>
      </c>
      <c r="M162" t="s">
        <v>611</v>
      </c>
      <c r="N162" t="s">
        <v>612</v>
      </c>
    </row>
    <row r="163" spans="1:14" x14ac:dyDescent="0.25">
      <c r="A163" t="s">
        <v>90</v>
      </c>
      <c r="B163" t="s">
        <v>91</v>
      </c>
      <c r="C163" t="s">
        <v>137</v>
      </c>
      <c r="D163" s="13">
        <v>45352</v>
      </c>
      <c r="E163" t="s">
        <v>18</v>
      </c>
      <c r="F163">
        <v>11824.62</v>
      </c>
      <c r="G163">
        <v>9524.26</v>
      </c>
      <c r="H163">
        <v>55004.28</v>
      </c>
      <c r="I163">
        <v>13394.12</v>
      </c>
      <c r="J163">
        <v>12</v>
      </c>
      <c r="K163">
        <v>10</v>
      </c>
      <c r="L163" t="s">
        <v>30</v>
      </c>
      <c r="M163" t="s">
        <v>611</v>
      </c>
      <c r="N163" t="s">
        <v>612</v>
      </c>
    </row>
    <row r="164" spans="1:14" x14ac:dyDescent="0.25">
      <c r="A164" t="s">
        <v>93</v>
      </c>
      <c r="B164" t="s">
        <v>94</v>
      </c>
      <c r="C164" t="s">
        <v>137</v>
      </c>
      <c r="D164" s="13">
        <v>45352</v>
      </c>
      <c r="E164" t="s">
        <v>18</v>
      </c>
      <c r="F164">
        <v>47575</v>
      </c>
      <c r="G164">
        <v>25695.91</v>
      </c>
      <c r="H164">
        <v>198096.02</v>
      </c>
      <c r="I164">
        <v>48399.87</v>
      </c>
      <c r="J164">
        <v>6</v>
      </c>
      <c r="K164">
        <v>5</v>
      </c>
      <c r="L164" t="s">
        <v>30</v>
      </c>
      <c r="M164" t="s">
        <v>611</v>
      </c>
      <c r="N164" t="s">
        <v>612</v>
      </c>
    </row>
    <row r="165" spans="1:14" x14ac:dyDescent="0.25">
      <c r="A165" t="s">
        <v>96</v>
      </c>
      <c r="B165" t="s">
        <v>97</v>
      </c>
      <c r="C165" t="s">
        <v>137</v>
      </c>
      <c r="D165" s="13">
        <v>45352</v>
      </c>
      <c r="E165" t="s">
        <v>18</v>
      </c>
      <c r="F165">
        <v>21397</v>
      </c>
      <c r="G165">
        <v>19590.75</v>
      </c>
      <c r="H165">
        <v>66223.490000000005</v>
      </c>
      <c r="I165">
        <v>13810.3</v>
      </c>
      <c r="J165">
        <v>3</v>
      </c>
      <c r="K165">
        <v>3</v>
      </c>
      <c r="L165" t="s">
        <v>30</v>
      </c>
      <c r="M165" t="s">
        <v>115</v>
      </c>
      <c r="N165" t="s">
        <v>612</v>
      </c>
    </row>
    <row r="166" spans="1:14" x14ac:dyDescent="0.25">
      <c r="A166" t="s">
        <v>14</v>
      </c>
      <c r="B166" t="s">
        <v>15</v>
      </c>
      <c r="C166" t="s">
        <v>16</v>
      </c>
      <c r="D166" s="13">
        <v>45359</v>
      </c>
      <c r="E166" t="s">
        <v>18</v>
      </c>
      <c r="F166">
        <v>182561.83</v>
      </c>
      <c r="G166">
        <v>196264.24</v>
      </c>
      <c r="H166">
        <v>681449.45</v>
      </c>
      <c r="I166">
        <v>185915.82</v>
      </c>
      <c r="J166">
        <v>1</v>
      </c>
      <c r="K166">
        <v>7</v>
      </c>
      <c r="L166" t="s">
        <v>30</v>
      </c>
      <c r="M166" t="s">
        <v>26</v>
      </c>
      <c r="N166" t="s">
        <v>612</v>
      </c>
    </row>
    <row r="167" spans="1:14" x14ac:dyDescent="0.25">
      <c r="A167" t="s">
        <v>21</v>
      </c>
      <c r="B167" t="s">
        <v>22</v>
      </c>
      <c r="C167" t="s">
        <v>16</v>
      </c>
      <c r="D167" s="13">
        <v>45359</v>
      </c>
      <c r="E167" t="s">
        <v>18</v>
      </c>
      <c r="F167">
        <v>161915.92000000001</v>
      </c>
      <c r="G167">
        <v>274036.43</v>
      </c>
      <c r="H167">
        <v>541588.77</v>
      </c>
      <c r="I167">
        <v>179725.39</v>
      </c>
      <c r="J167">
        <v>6</v>
      </c>
      <c r="K167">
        <v>2</v>
      </c>
      <c r="L167" t="s">
        <v>30</v>
      </c>
      <c r="M167" t="s">
        <v>611</v>
      </c>
      <c r="N167" t="s">
        <v>612</v>
      </c>
    </row>
    <row r="168" spans="1:14" x14ac:dyDescent="0.25">
      <c r="A168" t="s">
        <v>27</v>
      </c>
      <c r="B168" t="s">
        <v>28</v>
      </c>
      <c r="C168" t="s">
        <v>16</v>
      </c>
      <c r="D168" s="13">
        <v>45359</v>
      </c>
      <c r="E168" t="s">
        <v>18</v>
      </c>
      <c r="F168">
        <v>119413.23</v>
      </c>
      <c r="G168">
        <v>114398.8</v>
      </c>
      <c r="H168">
        <v>415827.38</v>
      </c>
      <c r="I168">
        <v>109554.38</v>
      </c>
      <c r="J168">
        <v>1</v>
      </c>
      <c r="K168">
        <v>1</v>
      </c>
      <c r="L168" t="s">
        <v>30</v>
      </c>
      <c r="M168" t="s">
        <v>611</v>
      </c>
      <c r="N168" t="s">
        <v>612</v>
      </c>
    </row>
    <row r="169" spans="1:14" x14ac:dyDescent="0.25">
      <c r="A169" t="s">
        <v>32</v>
      </c>
      <c r="B169" t="s">
        <v>33</v>
      </c>
      <c r="C169" t="s">
        <v>16</v>
      </c>
      <c r="D169" s="13">
        <v>45359</v>
      </c>
      <c r="E169" t="s">
        <v>18</v>
      </c>
      <c r="F169">
        <v>123169.48</v>
      </c>
      <c r="G169">
        <v>121148.85</v>
      </c>
      <c r="H169">
        <v>583477.67000000004</v>
      </c>
      <c r="I169">
        <v>168693.48</v>
      </c>
      <c r="J169">
        <v>4</v>
      </c>
      <c r="K169">
        <v>8</v>
      </c>
      <c r="L169" t="s">
        <v>30</v>
      </c>
      <c r="M169" t="s">
        <v>43</v>
      </c>
      <c r="N169" t="s">
        <v>612</v>
      </c>
    </row>
    <row r="170" spans="1:14" x14ac:dyDescent="0.25">
      <c r="A170" t="s">
        <v>39</v>
      </c>
      <c r="B170" t="s">
        <v>40</v>
      </c>
      <c r="C170" t="s">
        <v>16</v>
      </c>
      <c r="D170" s="13">
        <v>45359</v>
      </c>
      <c r="E170" t="s">
        <v>18</v>
      </c>
      <c r="F170">
        <v>173445.58</v>
      </c>
      <c r="G170">
        <v>161948.43</v>
      </c>
      <c r="H170">
        <v>784052.16</v>
      </c>
      <c r="I170">
        <v>241956.67</v>
      </c>
      <c r="J170">
        <v>2</v>
      </c>
      <c r="K170">
        <v>6</v>
      </c>
      <c r="L170" t="s">
        <v>30</v>
      </c>
      <c r="M170" t="s">
        <v>115</v>
      </c>
      <c r="N170" t="s">
        <v>612</v>
      </c>
    </row>
    <row r="171" spans="1:14" x14ac:dyDescent="0.25">
      <c r="A171" t="s">
        <v>44</v>
      </c>
      <c r="B171" t="s">
        <v>45</v>
      </c>
      <c r="C171" t="s">
        <v>16</v>
      </c>
      <c r="D171" s="13">
        <v>45359</v>
      </c>
      <c r="E171" t="s">
        <v>18</v>
      </c>
      <c r="F171">
        <v>206063.71</v>
      </c>
      <c r="G171">
        <v>215969.61</v>
      </c>
      <c r="H171">
        <v>577123.59</v>
      </c>
      <c r="I171">
        <v>120843.58</v>
      </c>
      <c r="J171">
        <v>2</v>
      </c>
      <c r="K171">
        <v>3</v>
      </c>
      <c r="L171" t="s">
        <v>112</v>
      </c>
      <c r="M171" t="s">
        <v>611</v>
      </c>
      <c r="N171" t="s">
        <v>612</v>
      </c>
    </row>
    <row r="172" spans="1:14" x14ac:dyDescent="0.25">
      <c r="A172" t="s">
        <v>49</v>
      </c>
      <c r="B172" t="s">
        <v>50</v>
      </c>
      <c r="C172" t="s">
        <v>51</v>
      </c>
      <c r="D172" s="13">
        <v>45359</v>
      </c>
      <c r="E172" t="s">
        <v>18</v>
      </c>
      <c r="F172">
        <v>67151.37</v>
      </c>
      <c r="G172">
        <v>106505.71</v>
      </c>
      <c r="H172">
        <v>260556.42</v>
      </c>
      <c r="I172">
        <v>69919.53</v>
      </c>
      <c r="J172">
        <v>1</v>
      </c>
      <c r="K172">
        <v>7</v>
      </c>
      <c r="L172" t="s">
        <v>30</v>
      </c>
      <c r="M172" t="s">
        <v>127</v>
      </c>
      <c r="N172" t="s">
        <v>612</v>
      </c>
    </row>
    <row r="173" spans="1:14" x14ac:dyDescent="0.25">
      <c r="A173" t="s">
        <v>55</v>
      </c>
      <c r="B173" t="s">
        <v>56</v>
      </c>
      <c r="C173" t="s">
        <v>51</v>
      </c>
      <c r="D173" s="13">
        <v>45359</v>
      </c>
      <c r="E173" t="s">
        <v>18</v>
      </c>
      <c r="F173">
        <v>36059.43</v>
      </c>
      <c r="G173">
        <v>33745.42</v>
      </c>
      <c r="H173">
        <v>169289.41</v>
      </c>
      <c r="I173">
        <v>49316.36</v>
      </c>
      <c r="J173">
        <v>5</v>
      </c>
      <c r="K173">
        <v>6</v>
      </c>
      <c r="L173" t="s">
        <v>30</v>
      </c>
      <c r="M173" t="s">
        <v>105</v>
      </c>
      <c r="N173" t="s">
        <v>612</v>
      </c>
    </row>
    <row r="174" spans="1:14" x14ac:dyDescent="0.25">
      <c r="A174" t="s">
        <v>62</v>
      </c>
      <c r="B174" t="s">
        <v>63</v>
      </c>
      <c r="C174" t="s">
        <v>51</v>
      </c>
      <c r="D174" s="13">
        <v>45359</v>
      </c>
      <c r="E174" t="s">
        <v>18</v>
      </c>
      <c r="F174">
        <v>46115.06</v>
      </c>
      <c r="G174">
        <v>44350.34</v>
      </c>
      <c r="H174">
        <v>209522.16</v>
      </c>
      <c r="I174">
        <v>47699.59</v>
      </c>
      <c r="J174">
        <v>4</v>
      </c>
      <c r="K174">
        <v>6</v>
      </c>
      <c r="L174" t="s">
        <v>30</v>
      </c>
      <c r="M174" t="s">
        <v>26</v>
      </c>
      <c r="N174" t="s">
        <v>612</v>
      </c>
    </row>
    <row r="175" spans="1:14" x14ac:dyDescent="0.25">
      <c r="A175" t="s">
        <v>68</v>
      </c>
      <c r="B175" t="s">
        <v>69</v>
      </c>
      <c r="C175" t="s">
        <v>51</v>
      </c>
      <c r="D175" s="13">
        <v>45359</v>
      </c>
      <c r="E175" t="s">
        <v>18</v>
      </c>
      <c r="F175">
        <v>79438.17</v>
      </c>
      <c r="G175">
        <v>85180.23</v>
      </c>
      <c r="H175">
        <v>361645.71</v>
      </c>
      <c r="I175">
        <v>74869.820000000007</v>
      </c>
      <c r="J175">
        <v>3</v>
      </c>
      <c r="K175">
        <v>6</v>
      </c>
      <c r="L175" t="s">
        <v>112</v>
      </c>
      <c r="M175" t="s">
        <v>611</v>
      </c>
      <c r="N175" t="s">
        <v>612</v>
      </c>
    </row>
    <row r="176" spans="1:14" x14ac:dyDescent="0.25">
      <c r="A176" t="s">
        <v>74</v>
      </c>
      <c r="B176" t="s">
        <v>75</v>
      </c>
      <c r="C176" t="s">
        <v>51</v>
      </c>
      <c r="D176" s="13">
        <v>45359</v>
      </c>
      <c r="E176" t="s">
        <v>18</v>
      </c>
      <c r="F176">
        <v>46438.65</v>
      </c>
      <c r="G176">
        <v>50945.61</v>
      </c>
      <c r="H176">
        <v>189865.56</v>
      </c>
      <c r="I176">
        <v>35162.29</v>
      </c>
      <c r="J176">
        <v>3</v>
      </c>
      <c r="K176">
        <v>7</v>
      </c>
      <c r="L176" t="s">
        <v>30</v>
      </c>
      <c r="M176" t="s">
        <v>26</v>
      </c>
      <c r="N176" t="s">
        <v>612</v>
      </c>
    </row>
    <row r="177" spans="1:14" x14ac:dyDescent="0.25">
      <c r="A177" t="s">
        <v>78</v>
      </c>
      <c r="B177" t="s">
        <v>79</v>
      </c>
      <c r="C177" t="s">
        <v>137</v>
      </c>
      <c r="D177" s="13">
        <v>45359</v>
      </c>
      <c r="E177" t="s">
        <v>18</v>
      </c>
      <c r="F177">
        <v>18437.27</v>
      </c>
      <c r="G177">
        <v>15329.74</v>
      </c>
      <c r="H177">
        <v>82038.039999999994</v>
      </c>
      <c r="I177">
        <v>17853.91</v>
      </c>
      <c r="J177">
        <v>5</v>
      </c>
      <c r="K177">
        <v>11</v>
      </c>
      <c r="L177" t="s">
        <v>30</v>
      </c>
      <c r="M177" t="s">
        <v>125</v>
      </c>
      <c r="N177" t="s">
        <v>612</v>
      </c>
    </row>
    <row r="178" spans="1:14" x14ac:dyDescent="0.25">
      <c r="A178" t="s">
        <v>82</v>
      </c>
      <c r="B178" t="s">
        <v>83</v>
      </c>
      <c r="C178" t="s">
        <v>137</v>
      </c>
      <c r="D178" s="13">
        <v>45359</v>
      </c>
      <c r="E178" t="s">
        <v>18</v>
      </c>
      <c r="F178">
        <v>11359.54</v>
      </c>
      <c r="G178">
        <v>5675.29</v>
      </c>
      <c r="H178">
        <v>46651.95</v>
      </c>
      <c r="I178">
        <v>11383.11</v>
      </c>
      <c r="J178">
        <v>7</v>
      </c>
      <c r="K178">
        <v>13</v>
      </c>
      <c r="L178" t="s">
        <v>30</v>
      </c>
      <c r="M178" t="s">
        <v>611</v>
      </c>
      <c r="N178" t="s">
        <v>612</v>
      </c>
    </row>
    <row r="179" spans="1:14" x14ac:dyDescent="0.25">
      <c r="A179" t="s">
        <v>84</v>
      </c>
      <c r="B179" t="s">
        <v>85</v>
      </c>
      <c r="C179" t="s">
        <v>137</v>
      </c>
      <c r="D179" s="13">
        <v>45359</v>
      </c>
      <c r="E179" t="s">
        <v>18</v>
      </c>
      <c r="F179">
        <v>24031.86</v>
      </c>
      <c r="G179">
        <v>21420.52</v>
      </c>
      <c r="H179">
        <v>66574.53</v>
      </c>
      <c r="I179">
        <v>23169.360000000001</v>
      </c>
      <c r="J179">
        <v>12</v>
      </c>
      <c r="K179">
        <v>12</v>
      </c>
      <c r="L179" t="s">
        <v>30</v>
      </c>
      <c r="M179" t="s">
        <v>611</v>
      </c>
      <c r="N179" t="s">
        <v>612</v>
      </c>
    </row>
    <row r="180" spans="1:14" x14ac:dyDescent="0.25">
      <c r="A180" t="s">
        <v>87</v>
      </c>
      <c r="B180" t="s">
        <v>88</v>
      </c>
      <c r="C180" t="s">
        <v>137</v>
      </c>
      <c r="D180" s="13">
        <v>45359</v>
      </c>
      <c r="E180" t="s">
        <v>18</v>
      </c>
      <c r="F180">
        <v>16628.810000000001</v>
      </c>
      <c r="G180">
        <v>13635.04</v>
      </c>
      <c r="H180">
        <v>68818.37</v>
      </c>
      <c r="I180">
        <v>15422.37</v>
      </c>
      <c r="J180">
        <v>8</v>
      </c>
      <c r="K180">
        <v>2</v>
      </c>
      <c r="L180" t="s">
        <v>30</v>
      </c>
      <c r="M180" t="s">
        <v>611</v>
      </c>
      <c r="N180" t="s">
        <v>612</v>
      </c>
    </row>
    <row r="181" spans="1:14" x14ac:dyDescent="0.25">
      <c r="A181" t="s">
        <v>90</v>
      </c>
      <c r="B181" t="s">
        <v>91</v>
      </c>
      <c r="C181" t="s">
        <v>137</v>
      </c>
      <c r="D181" s="13">
        <v>45359</v>
      </c>
      <c r="E181" t="s">
        <v>18</v>
      </c>
      <c r="F181">
        <v>30826.32</v>
      </c>
      <c r="G181">
        <v>36076.639999999999</v>
      </c>
      <c r="H181">
        <v>91025.18</v>
      </c>
      <c r="I181">
        <v>18364.38</v>
      </c>
      <c r="J181">
        <v>6</v>
      </c>
      <c r="K181">
        <v>10</v>
      </c>
      <c r="L181" t="s">
        <v>30</v>
      </c>
      <c r="M181" t="s">
        <v>611</v>
      </c>
      <c r="N181" t="s">
        <v>612</v>
      </c>
    </row>
    <row r="182" spans="1:14" x14ac:dyDescent="0.25">
      <c r="A182" t="s">
        <v>93</v>
      </c>
      <c r="B182" t="s">
        <v>94</v>
      </c>
      <c r="C182" t="s">
        <v>137</v>
      </c>
      <c r="D182" s="13">
        <v>45359</v>
      </c>
      <c r="E182" t="s">
        <v>18</v>
      </c>
      <c r="F182">
        <v>21471.200000000001</v>
      </c>
      <c r="G182">
        <v>12155.87</v>
      </c>
      <c r="H182">
        <v>84828.05</v>
      </c>
      <c r="I182">
        <v>22078.82</v>
      </c>
      <c r="J182">
        <v>5</v>
      </c>
      <c r="K182">
        <v>11</v>
      </c>
      <c r="L182" t="s">
        <v>30</v>
      </c>
      <c r="M182" t="s">
        <v>611</v>
      </c>
      <c r="N182" t="s">
        <v>612</v>
      </c>
    </row>
    <row r="183" spans="1:14" x14ac:dyDescent="0.25">
      <c r="A183" t="s">
        <v>96</v>
      </c>
      <c r="B183" t="s">
        <v>97</v>
      </c>
      <c r="C183" t="s">
        <v>137</v>
      </c>
      <c r="D183" s="13">
        <v>45359</v>
      </c>
      <c r="E183" t="s">
        <v>18</v>
      </c>
      <c r="F183">
        <v>31284.639999999999</v>
      </c>
      <c r="G183">
        <v>26284.68</v>
      </c>
      <c r="H183">
        <v>116346.06</v>
      </c>
      <c r="I183">
        <v>24439.67</v>
      </c>
      <c r="J183">
        <v>12</v>
      </c>
      <c r="K183">
        <v>3</v>
      </c>
      <c r="L183" t="s">
        <v>30</v>
      </c>
      <c r="M183" t="s">
        <v>611</v>
      </c>
      <c r="N183" t="s">
        <v>612</v>
      </c>
    </row>
    <row r="184" spans="1:14" x14ac:dyDescent="0.25">
      <c r="A184" t="s">
        <v>14</v>
      </c>
      <c r="B184" t="s">
        <v>15</v>
      </c>
      <c r="C184" t="s">
        <v>16</v>
      </c>
      <c r="D184" s="13">
        <v>45366</v>
      </c>
      <c r="E184" t="s">
        <v>18</v>
      </c>
      <c r="F184">
        <v>140117</v>
      </c>
      <c r="G184">
        <v>139480.9</v>
      </c>
      <c r="H184">
        <v>12594.15</v>
      </c>
      <c r="I184">
        <v>3065.76</v>
      </c>
      <c r="J184">
        <v>1</v>
      </c>
      <c r="K184">
        <v>8</v>
      </c>
      <c r="L184" t="s">
        <v>112</v>
      </c>
      <c r="M184" t="s">
        <v>43</v>
      </c>
      <c r="N184" t="s">
        <v>613</v>
      </c>
    </row>
    <row r="185" spans="1:14" x14ac:dyDescent="0.25">
      <c r="A185" t="s">
        <v>21</v>
      </c>
      <c r="B185" t="s">
        <v>22</v>
      </c>
      <c r="C185" t="s">
        <v>16</v>
      </c>
      <c r="D185" s="13">
        <v>45366</v>
      </c>
      <c r="E185" t="s">
        <v>18</v>
      </c>
      <c r="F185">
        <v>119391.33</v>
      </c>
      <c r="G185">
        <v>181592.39</v>
      </c>
      <c r="H185">
        <v>434562.45</v>
      </c>
      <c r="I185">
        <v>116940.75</v>
      </c>
      <c r="J185">
        <v>4</v>
      </c>
      <c r="K185">
        <v>5</v>
      </c>
      <c r="L185" t="s">
        <v>112</v>
      </c>
      <c r="M185" t="s">
        <v>105</v>
      </c>
      <c r="N185" t="s">
        <v>612</v>
      </c>
    </row>
    <row r="186" spans="1:14" x14ac:dyDescent="0.25">
      <c r="A186" t="s">
        <v>27</v>
      </c>
      <c r="B186" t="s">
        <v>28</v>
      </c>
      <c r="C186" t="s">
        <v>16</v>
      </c>
      <c r="D186" s="13">
        <v>45366</v>
      </c>
      <c r="E186" t="s">
        <v>18</v>
      </c>
      <c r="F186">
        <v>98368</v>
      </c>
      <c r="G186">
        <v>99842.46</v>
      </c>
      <c r="H186">
        <v>2762110</v>
      </c>
      <c r="I186">
        <v>86912.77</v>
      </c>
      <c r="J186">
        <v>4</v>
      </c>
      <c r="K186">
        <v>3</v>
      </c>
      <c r="L186" t="s">
        <v>30</v>
      </c>
      <c r="M186" t="s">
        <v>611</v>
      </c>
      <c r="N186" t="s">
        <v>612</v>
      </c>
    </row>
    <row r="187" spans="1:14" x14ac:dyDescent="0.25">
      <c r="A187" t="s">
        <v>32</v>
      </c>
      <c r="B187" t="s">
        <v>33</v>
      </c>
      <c r="C187" t="s">
        <v>16</v>
      </c>
      <c r="D187" s="13">
        <v>45366</v>
      </c>
      <c r="E187" t="s">
        <v>18</v>
      </c>
      <c r="F187">
        <v>156619.53</v>
      </c>
      <c r="G187">
        <v>156362.89000000001</v>
      </c>
      <c r="H187">
        <v>472010.13</v>
      </c>
      <c r="I187">
        <v>85708.44</v>
      </c>
      <c r="J187">
        <v>4</v>
      </c>
      <c r="K187">
        <v>3</v>
      </c>
      <c r="L187" t="s">
        <v>30</v>
      </c>
      <c r="M187" t="s">
        <v>127</v>
      </c>
      <c r="N187" t="s">
        <v>612</v>
      </c>
    </row>
    <row r="188" spans="1:14" x14ac:dyDescent="0.25">
      <c r="A188" t="s">
        <v>39</v>
      </c>
      <c r="B188" t="s">
        <v>40</v>
      </c>
      <c r="C188" t="s">
        <v>16</v>
      </c>
      <c r="D188" s="13">
        <v>45366</v>
      </c>
      <c r="E188" t="s">
        <v>18</v>
      </c>
      <c r="F188">
        <v>165260</v>
      </c>
      <c r="G188">
        <v>168200.13</v>
      </c>
      <c r="H188">
        <v>561026.27</v>
      </c>
      <c r="I188">
        <v>116280.27</v>
      </c>
      <c r="J188">
        <v>5</v>
      </c>
      <c r="K188">
        <v>4</v>
      </c>
      <c r="L188" t="s">
        <v>30</v>
      </c>
      <c r="M188" t="s">
        <v>611</v>
      </c>
      <c r="N188" t="s">
        <v>612</v>
      </c>
    </row>
    <row r="189" spans="1:14" x14ac:dyDescent="0.25">
      <c r="A189" t="s">
        <v>44</v>
      </c>
      <c r="B189" t="s">
        <v>45</v>
      </c>
      <c r="C189" t="s">
        <v>16</v>
      </c>
      <c r="D189" s="13">
        <v>45366</v>
      </c>
      <c r="E189" t="s">
        <v>18</v>
      </c>
      <c r="F189">
        <v>92611.57</v>
      </c>
      <c r="G189">
        <v>92680.95</v>
      </c>
      <c r="H189">
        <v>441011.54</v>
      </c>
      <c r="I189">
        <v>113625.61</v>
      </c>
      <c r="J189">
        <v>3</v>
      </c>
      <c r="K189">
        <v>2</v>
      </c>
      <c r="L189" t="s">
        <v>30</v>
      </c>
      <c r="M189" t="s">
        <v>115</v>
      </c>
      <c r="N189" t="s">
        <v>612</v>
      </c>
    </row>
    <row r="190" spans="1:14" x14ac:dyDescent="0.25">
      <c r="A190" t="s">
        <v>55</v>
      </c>
      <c r="B190" t="s">
        <v>56</v>
      </c>
      <c r="C190" t="s">
        <v>51</v>
      </c>
      <c r="D190" s="13">
        <v>45366</v>
      </c>
      <c r="E190" t="s">
        <v>18</v>
      </c>
      <c r="F190">
        <v>68831.92</v>
      </c>
      <c r="G190">
        <v>67416.69</v>
      </c>
      <c r="H190">
        <v>336431.34</v>
      </c>
      <c r="I190">
        <v>102484.24</v>
      </c>
      <c r="J190">
        <v>3</v>
      </c>
      <c r="K190">
        <v>8</v>
      </c>
      <c r="L190" t="s">
        <v>30</v>
      </c>
      <c r="M190" t="s">
        <v>125</v>
      </c>
      <c r="N190" t="s">
        <v>612</v>
      </c>
    </row>
    <row r="191" spans="1:14" x14ac:dyDescent="0.25">
      <c r="A191" t="s">
        <v>59</v>
      </c>
      <c r="B191" t="s">
        <v>60</v>
      </c>
      <c r="C191" t="s">
        <v>51</v>
      </c>
      <c r="D191" s="13">
        <v>45366</v>
      </c>
      <c r="E191" t="s">
        <v>18</v>
      </c>
      <c r="F191">
        <v>100065.35</v>
      </c>
      <c r="G191">
        <v>48137.8</v>
      </c>
      <c r="H191">
        <v>478118.96</v>
      </c>
      <c r="I191">
        <v>132305.26</v>
      </c>
      <c r="J191">
        <v>4</v>
      </c>
      <c r="K191">
        <v>7</v>
      </c>
      <c r="L191" t="s">
        <v>30</v>
      </c>
      <c r="M191" t="s">
        <v>31</v>
      </c>
      <c r="N191" t="s">
        <v>612</v>
      </c>
    </row>
    <row r="192" spans="1:14" x14ac:dyDescent="0.25">
      <c r="A192" t="s">
        <v>62</v>
      </c>
      <c r="B192" t="s">
        <v>63</v>
      </c>
      <c r="C192" t="s">
        <v>51</v>
      </c>
      <c r="D192" s="13">
        <v>45366</v>
      </c>
      <c r="E192" t="s">
        <v>18</v>
      </c>
      <c r="F192">
        <v>30741.61</v>
      </c>
      <c r="G192">
        <v>32100.39</v>
      </c>
      <c r="H192">
        <v>152009.25</v>
      </c>
      <c r="I192">
        <v>36103.89</v>
      </c>
      <c r="J192">
        <v>5</v>
      </c>
      <c r="K192">
        <v>4</v>
      </c>
      <c r="L192" t="s">
        <v>30</v>
      </c>
      <c r="M192" t="s">
        <v>611</v>
      </c>
      <c r="N192" t="s">
        <v>612</v>
      </c>
    </row>
    <row r="193" spans="1:14" x14ac:dyDescent="0.25">
      <c r="A193" t="s">
        <v>66</v>
      </c>
      <c r="B193" t="s">
        <v>67</v>
      </c>
      <c r="C193" t="s">
        <v>51</v>
      </c>
      <c r="D193" s="13">
        <v>45366</v>
      </c>
      <c r="E193" t="s">
        <v>18</v>
      </c>
      <c r="F193">
        <v>66774.84</v>
      </c>
      <c r="G193">
        <v>62861.66</v>
      </c>
      <c r="H193">
        <v>251335.09</v>
      </c>
      <c r="I193">
        <v>66425.84</v>
      </c>
      <c r="J193">
        <v>2</v>
      </c>
      <c r="K193">
        <v>3</v>
      </c>
      <c r="L193" t="s">
        <v>30</v>
      </c>
      <c r="M193" t="s">
        <v>105</v>
      </c>
      <c r="N193" t="s">
        <v>612</v>
      </c>
    </row>
    <row r="194" spans="1:14" x14ac:dyDescent="0.25">
      <c r="A194" t="s">
        <v>68</v>
      </c>
      <c r="B194" t="s">
        <v>69</v>
      </c>
      <c r="C194" t="s">
        <v>51</v>
      </c>
      <c r="D194" s="13">
        <v>45366</v>
      </c>
      <c r="E194" t="s">
        <v>18</v>
      </c>
      <c r="F194">
        <v>956651</v>
      </c>
      <c r="G194">
        <v>57147.839999999997</v>
      </c>
      <c r="H194">
        <v>262945.63</v>
      </c>
      <c r="I194">
        <v>52636.5</v>
      </c>
      <c r="J194">
        <v>4</v>
      </c>
      <c r="K194">
        <v>2</v>
      </c>
      <c r="L194" t="s">
        <v>112</v>
      </c>
      <c r="M194" t="s">
        <v>611</v>
      </c>
      <c r="N194" t="s">
        <v>613</v>
      </c>
    </row>
    <row r="195" spans="1:14" x14ac:dyDescent="0.25">
      <c r="A195" t="s">
        <v>74</v>
      </c>
      <c r="B195" t="s">
        <v>75</v>
      </c>
      <c r="C195" t="s">
        <v>51</v>
      </c>
      <c r="D195" s="13">
        <v>45366</v>
      </c>
      <c r="E195" t="s">
        <v>18</v>
      </c>
      <c r="F195">
        <v>70288.460000000006</v>
      </c>
      <c r="G195">
        <v>74087.03</v>
      </c>
      <c r="H195">
        <v>320745.76</v>
      </c>
      <c r="I195">
        <v>103772.15</v>
      </c>
      <c r="J195">
        <v>3</v>
      </c>
      <c r="K195">
        <v>6</v>
      </c>
      <c r="L195" t="s">
        <v>30</v>
      </c>
      <c r="M195" t="s">
        <v>611</v>
      </c>
      <c r="N195" t="s">
        <v>612</v>
      </c>
    </row>
    <row r="196" spans="1:14" x14ac:dyDescent="0.25">
      <c r="A196" t="s">
        <v>78</v>
      </c>
      <c r="B196" t="s">
        <v>79</v>
      </c>
      <c r="C196" t="s">
        <v>137</v>
      </c>
      <c r="D196" s="13">
        <v>45366</v>
      </c>
      <c r="E196" t="s">
        <v>18</v>
      </c>
      <c r="F196">
        <v>34039.71</v>
      </c>
      <c r="G196">
        <v>32623.55</v>
      </c>
      <c r="H196">
        <v>116917.07</v>
      </c>
      <c r="I196">
        <v>38871.31</v>
      </c>
      <c r="J196">
        <v>9</v>
      </c>
      <c r="K196">
        <v>10</v>
      </c>
      <c r="L196" t="s">
        <v>30</v>
      </c>
      <c r="M196" t="s">
        <v>101</v>
      </c>
      <c r="N196" t="s">
        <v>612</v>
      </c>
    </row>
    <row r="197" spans="1:14" x14ac:dyDescent="0.25">
      <c r="A197" t="s">
        <v>82</v>
      </c>
      <c r="B197" t="s">
        <v>83</v>
      </c>
      <c r="C197" t="s">
        <v>137</v>
      </c>
      <c r="D197" s="13">
        <v>45366</v>
      </c>
      <c r="E197" t="s">
        <v>18</v>
      </c>
      <c r="F197">
        <v>15193</v>
      </c>
      <c r="G197">
        <v>8279.0300000000007</v>
      </c>
      <c r="H197">
        <v>42664.07</v>
      </c>
      <c r="I197">
        <v>10996.92</v>
      </c>
      <c r="J197">
        <v>11</v>
      </c>
      <c r="K197">
        <v>11</v>
      </c>
      <c r="L197" t="s">
        <v>112</v>
      </c>
      <c r="M197" t="s">
        <v>125</v>
      </c>
      <c r="N197" t="s">
        <v>612</v>
      </c>
    </row>
    <row r="198" spans="1:14" x14ac:dyDescent="0.25">
      <c r="A198" t="s">
        <v>84</v>
      </c>
      <c r="B198" t="s">
        <v>85</v>
      </c>
      <c r="C198" t="s">
        <v>137</v>
      </c>
      <c r="D198" s="13">
        <v>45366</v>
      </c>
      <c r="E198" t="s">
        <v>18</v>
      </c>
      <c r="F198">
        <v>12688.56</v>
      </c>
      <c r="G198">
        <v>13488.56</v>
      </c>
      <c r="H198">
        <v>44010.44</v>
      </c>
      <c r="I198">
        <v>14526.01</v>
      </c>
      <c r="J198">
        <v>10</v>
      </c>
      <c r="K198">
        <v>3</v>
      </c>
      <c r="L198" t="s">
        <v>112</v>
      </c>
      <c r="M198" t="s">
        <v>611</v>
      </c>
      <c r="N198" t="s">
        <v>612</v>
      </c>
    </row>
    <row r="199" spans="1:14" x14ac:dyDescent="0.25">
      <c r="A199" t="s">
        <v>87</v>
      </c>
      <c r="B199" t="s">
        <v>88</v>
      </c>
      <c r="C199" t="s">
        <v>137</v>
      </c>
      <c r="D199" s="13">
        <v>45366</v>
      </c>
      <c r="E199" t="s">
        <v>18</v>
      </c>
      <c r="F199">
        <v>28207.53</v>
      </c>
      <c r="G199">
        <v>27073.09</v>
      </c>
      <c r="H199">
        <v>109149.44</v>
      </c>
      <c r="I199">
        <v>33318.870000000003</v>
      </c>
      <c r="J199">
        <v>10</v>
      </c>
      <c r="K199">
        <v>13</v>
      </c>
      <c r="L199" t="s">
        <v>30</v>
      </c>
      <c r="M199" t="s">
        <v>611</v>
      </c>
      <c r="N199" t="s">
        <v>612</v>
      </c>
    </row>
    <row r="200" spans="1:14" x14ac:dyDescent="0.25">
      <c r="A200" t="s">
        <v>90</v>
      </c>
      <c r="B200" t="s">
        <v>91</v>
      </c>
      <c r="C200" t="s">
        <v>137</v>
      </c>
      <c r="D200" s="13">
        <v>45366</v>
      </c>
      <c r="E200" t="s">
        <v>18</v>
      </c>
      <c r="F200">
        <v>25195.69</v>
      </c>
      <c r="G200">
        <v>26255.69</v>
      </c>
      <c r="H200">
        <v>85176.41</v>
      </c>
      <c r="I200">
        <v>23594.59</v>
      </c>
      <c r="J200">
        <v>12</v>
      </c>
      <c r="K200">
        <v>14</v>
      </c>
      <c r="L200" t="s">
        <v>30</v>
      </c>
      <c r="M200" t="s">
        <v>125</v>
      </c>
      <c r="N200" t="s">
        <v>612</v>
      </c>
    </row>
    <row r="201" spans="1:14" x14ac:dyDescent="0.25">
      <c r="A201" t="s">
        <v>93</v>
      </c>
      <c r="B201" t="s">
        <v>94</v>
      </c>
      <c r="C201" t="s">
        <v>137</v>
      </c>
      <c r="D201" s="13">
        <v>45366</v>
      </c>
      <c r="E201" t="s">
        <v>18</v>
      </c>
      <c r="F201">
        <v>34551.089999999997</v>
      </c>
      <c r="G201">
        <v>19890.669999999998</v>
      </c>
      <c r="H201">
        <v>7352.65</v>
      </c>
      <c r="I201">
        <v>1451.57</v>
      </c>
      <c r="J201">
        <v>12</v>
      </c>
      <c r="K201">
        <v>5</v>
      </c>
      <c r="L201" t="s">
        <v>30</v>
      </c>
      <c r="M201" t="s">
        <v>611</v>
      </c>
      <c r="N201" t="s">
        <v>613</v>
      </c>
    </row>
    <row r="202" spans="1:14" x14ac:dyDescent="0.25">
      <c r="A202" t="s">
        <v>96</v>
      </c>
      <c r="B202" t="s">
        <v>97</v>
      </c>
      <c r="C202" t="s">
        <v>137</v>
      </c>
      <c r="D202" s="13">
        <v>45366</v>
      </c>
      <c r="E202" t="s">
        <v>18</v>
      </c>
      <c r="F202">
        <v>29279.01</v>
      </c>
      <c r="G202">
        <v>30363.21</v>
      </c>
      <c r="H202">
        <v>77135.72</v>
      </c>
      <c r="I202">
        <v>16547.53</v>
      </c>
      <c r="J202">
        <v>9</v>
      </c>
      <c r="K202">
        <v>10</v>
      </c>
      <c r="L202" t="s">
        <v>30</v>
      </c>
      <c r="M202" t="s">
        <v>611</v>
      </c>
      <c r="N202" t="s">
        <v>612</v>
      </c>
    </row>
    <row r="203" spans="1:14" x14ac:dyDescent="0.25">
      <c r="A203" t="s">
        <v>14</v>
      </c>
      <c r="B203" t="s">
        <v>15</v>
      </c>
      <c r="C203" t="s">
        <v>16</v>
      </c>
      <c r="D203" s="13">
        <v>45373</v>
      </c>
      <c r="E203" t="s">
        <v>18</v>
      </c>
      <c r="F203">
        <v>85688.79</v>
      </c>
      <c r="G203">
        <v>84477.43</v>
      </c>
      <c r="H203">
        <v>242085.09</v>
      </c>
      <c r="I203">
        <v>54070.37</v>
      </c>
      <c r="J203">
        <v>3</v>
      </c>
      <c r="K203">
        <v>5</v>
      </c>
      <c r="L203" t="s">
        <v>30</v>
      </c>
      <c r="M203" t="s">
        <v>611</v>
      </c>
      <c r="N203" t="s">
        <v>612</v>
      </c>
    </row>
    <row r="204" spans="1:14" x14ac:dyDescent="0.25">
      <c r="A204" t="s">
        <v>21</v>
      </c>
      <c r="B204" t="s">
        <v>22</v>
      </c>
      <c r="C204" t="s">
        <v>16</v>
      </c>
      <c r="D204" s="13">
        <v>45373</v>
      </c>
      <c r="E204" t="s">
        <v>18</v>
      </c>
      <c r="F204">
        <v>67423.41</v>
      </c>
      <c r="G204">
        <v>121192.49</v>
      </c>
      <c r="H204">
        <v>301089.06</v>
      </c>
      <c r="I204">
        <v>81993.67</v>
      </c>
      <c r="J204">
        <v>4</v>
      </c>
      <c r="K204">
        <v>2</v>
      </c>
      <c r="L204" t="s">
        <v>30</v>
      </c>
      <c r="M204" t="s">
        <v>113</v>
      </c>
      <c r="N204" t="s">
        <v>612</v>
      </c>
    </row>
    <row r="205" spans="1:14" x14ac:dyDescent="0.25">
      <c r="A205" t="s">
        <v>27</v>
      </c>
      <c r="B205" t="s">
        <v>28</v>
      </c>
      <c r="C205" t="s">
        <v>16</v>
      </c>
      <c r="D205" s="13">
        <v>45373</v>
      </c>
      <c r="E205" t="s">
        <v>18</v>
      </c>
      <c r="F205">
        <v>128441.02</v>
      </c>
      <c r="G205">
        <v>126306.62</v>
      </c>
      <c r="H205">
        <v>629006.77</v>
      </c>
      <c r="I205">
        <v>147539.38</v>
      </c>
      <c r="J205">
        <v>1</v>
      </c>
      <c r="K205">
        <v>4</v>
      </c>
      <c r="L205" t="s">
        <v>30</v>
      </c>
      <c r="M205" t="s">
        <v>115</v>
      </c>
      <c r="N205" t="s">
        <v>612</v>
      </c>
    </row>
    <row r="206" spans="1:14" x14ac:dyDescent="0.25">
      <c r="A206" t="s">
        <v>32</v>
      </c>
      <c r="B206" t="s">
        <v>33</v>
      </c>
      <c r="C206" t="s">
        <v>16</v>
      </c>
      <c r="D206" s="13">
        <v>45373</v>
      </c>
      <c r="E206" t="s">
        <v>18</v>
      </c>
      <c r="F206">
        <v>171213.95</v>
      </c>
      <c r="G206">
        <v>169244.99</v>
      </c>
      <c r="H206">
        <v>833902.59</v>
      </c>
      <c r="I206">
        <v>285667.46999999997</v>
      </c>
      <c r="J206">
        <v>5</v>
      </c>
      <c r="K206">
        <v>2</v>
      </c>
      <c r="L206" t="s">
        <v>30</v>
      </c>
      <c r="M206" t="s">
        <v>611</v>
      </c>
      <c r="N206" t="s">
        <v>612</v>
      </c>
    </row>
    <row r="207" spans="1:14" x14ac:dyDescent="0.25">
      <c r="A207" t="s">
        <v>39</v>
      </c>
      <c r="B207" t="s">
        <v>40</v>
      </c>
      <c r="C207" t="s">
        <v>16</v>
      </c>
      <c r="D207" s="13">
        <v>45373</v>
      </c>
      <c r="E207" t="s">
        <v>18</v>
      </c>
      <c r="F207">
        <v>211565.16</v>
      </c>
      <c r="G207">
        <v>214908.1</v>
      </c>
      <c r="H207">
        <v>541476.13</v>
      </c>
      <c r="I207">
        <v>100953.17</v>
      </c>
      <c r="J207">
        <v>1</v>
      </c>
      <c r="K207">
        <v>3</v>
      </c>
      <c r="L207" t="s">
        <v>30</v>
      </c>
      <c r="M207" t="s">
        <v>611</v>
      </c>
      <c r="N207" t="s">
        <v>612</v>
      </c>
    </row>
    <row r="208" spans="1:14" x14ac:dyDescent="0.25">
      <c r="A208" t="s">
        <v>49</v>
      </c>
      <c r="B208" t="s">
        <v>50</v>
      </c>
      <c r="C208" t="s">
        <v>51</v>
      </c>
      <c r="D208" s="13">
        <v>45373</v>
      </c>
      <c r="E208" t="s">
        <v>18</v>
      </c>
      <c r="F208">
        <v>45832.71</v>
      </c>
      <c r="G208">
        <v>81548.72</v>
      </c>
      <c r="H208">
        <v>194890.1</v>
      </c>
      <c r="I208">
        <v>65827.66</v>
      </c>
      <c r="J208">
        <v>1</v>
      </c>
      <c r="K208">
        <v>1</v>
      </c>
      <c r="L208" t="s">
        <v>30</v>
      </c>
      <c r="M208" t="s">
        <v>611</v>
      </c>
      <c r="N208" t="s">
        <v>612</v>
      </c>
    </row>
    <row r="209" spans="1:14" x14ac:dyDescent="0.25">
      <c r="A209" t="s">
        <v>55</v>
      </c>
      <c r="B209" t="s">
        <v>56</v>
      </c>
      <c r="C209" t="s">
        <v>51</v>
      </c>
      <c r="D209" s="13">
        <v>45373</v>
      </c>
      <c r="E209" t="s">
        <v>18</v>
      </c>
      <c r="F209">
        <v>74805</v>
      </c>
      <c r="G209">
        <v>77469.23</v>
      </c>
      <c r="H209">
        <v>366570.76</v>
      </c>
      <c r="I209">
        <v>108189.38</v>
      </c>
      <c r="J209">
        <v>6</v>
      </c>
      <c r="K209">
        <v>5</v>
      </c>
      <c r="L209" t="s">
        <v>30</v>
      </c>
      <c r="M209" t="s">
        <v>101</v>
      </c>
      <c r="N209" t="s">
        <v>612</v>
      </c>
    </row>
    <row r="210" spans="1:14" x14ac:dyDescent="0.25">
      <c r="A210" t="s">
        <v>59</v>
      </c>
      <c r="B210" t="s">
        <v>60</v>
      </c>
      <c r="C210" t="s">
        <v>51</v>
      </c>
      <c r="D210" s="13">
        <v>45373</v>
      </c>
      <c r="E210" t="s">
        <v>18</v>
      </c>
      <c r="F210">
        <v>112951.7</v>
      </c>
      <c r="G210">
        <v>61809.75</v>
      </c>
      <c r="H210">
        <v>327829.40999999997</v>
      </c>
      <c r="I210">
        <v>105530.65</v>
      </c>
      <c r="J210">
        <v>2</v>
      </c>
      <c r="K210">
        <v>3</v>
      </c>
      <c r="L210" t="s">
        <v>30</v>
      </c>
      <c r="M210" t="s">
        <v>611</v>
      </c>
      <c r="N210" t="s">
        <v>612</v>
      </c>
    </row>
    <row r="211" spans="1:14" x14ac:dyDescent="0.25">
      <c r="A211" t="s">
        <v>62</v>
      </c>
      <c r="B211" t="s">
        <v>63</v>
      </c>
      <c r="C211" t="s">
        <v>51</v>
      </c>
      <c r="D211" s="13">
        <v>45373</v>
      </c>
      <c r="E211" t="s">
        <v>18</v>
      </c>
      <c r="F211">
        <v>51428.3</v>
      </c>
      <c r="G211">
        <v>52485.43</v>
      </c>
      <c r="H211">
        <v>141433.62</v>
      </c>
      <c r="I211">
        <v>47100.25</v>
      </c>
      <c r="J211">
        <v>3</v>
      </c>
      <c r="K211">
        <v>4</v>
      </c>
      <c r="L211" t="s">
        <v>30</v>
      </c>
      <c r="M211" t="s">
        <v>113</v>
      </c>
      <c r="N211" t="s">
        <v>612</v>
      </c>
    </row>
    <row r="212" spans="1:14" x14ac:dyDescent="0.25">
      <c r="A212" t="s">
        <v>66</v>
      </c>
      <c r="B212" t="s">
        <v>67</v>
      </c>
      <c r="C212" t="s">
        <v>51</v>
      </c>
      <c r="D212" s="13">
        <v>45373</v>
      </c>
      <c r="E212" t="s">
        <v>18</v>
      </c>
      <c r="F212">
        <v>77139.61</v>
      </c>
      <c r="G212">
        <v>79103.88</v>
      </c>
      <c r="H212">
        <v>246206.45</v>
      </c>
      <c r="I212">
        <v>72761.06</v>
      </c>
      <c r="J212">
        <v>3</v>
      </c>
      <c r="K212">
        <v>7</v>
      </c>
      <c r="L212" t="s">
        <v>30</v>
      </c>
      <c r="M212" t="s">
        <v>43</v>
      </c>
      <c r="N212" t="s">
        <v>612</v>
      </c>
    </row>
    <row r="213" spans="1:14" x14ac:dyDescent="0.25">
      <c r="A213" t="s">
        <v>68</v>
      </c>
      <c r="B213" t="s">
        <v>69</v>
      </c>
      <c r="C213" t="s">
        <v>51</v>
      </c>
      <c r="D213" s="13">
        <v>45373</v>
      </c>
      <c r="E213" t="s">
        <v>18</v>
      </c>
      <c r="F213">
        <v>41785.919999999998</v>
      </c>
      <c r="G213">
        <v>42956.98</v>
      </c>
      <c r="H213">
        <v>180455.13</v>
      </c>
      <c r="I213">
        <v>58545.03</v>
      </c>
      <c r="J213">
        <v>6</v>
      </c>
      <c r="K213">
        <v>2</v>
      </c>
      <c r="L213" t="s">
        <v>30</v>
      </c>
      <c r="M213" t="s">
        <v>43</v>
      </c>
      <c r="N213" t="s">
        <v>612</v>
      </c>
    </row>
    <row r="214" spans="1:14" x14ac:dyDescent="0.25">
      <c r="A214" t="s">
        <v>74</v>
      </c>
      <c r="B214" t="s">
        <v>75</v>
      </c>
      <c r="C214" t="s">
        <v>51</v>
      </c>
      <c r="D214" s="13">
        <v>45373</v>
      </c>
      <c r="E214" t="s">
        <v>18</v>
      </c>
      <c r="F214">
        <v>43398.400000000001</v>
      </c>
      <c r="G214">
        <v>44815.68</v>
      </c>
      <c r="H214">
        <v>123021.58</v>
      </c>
      <c r="I214">
        <v>24037.7</v>
      </c>
      <c r="J214">
        <v>3</v>
      </c>
      <c r="K214">
        <v>5</v>
      </c>
      <c r="L214" t="s">
        <v>30</v>
      </c>
      <c r="M214" t="s">
        <v>611</v>
      </c>
      <c r="N214" t="s">
        <v>612</v>
      </c>
    </row>
    <row r="215" spans="1:14" x14ac:dyDescent="0.25">
      <c r="A215" t="s">
        <v>78</v>
      </c>
      <c r="B215" t="s">
        <v>79</v>
      </c>
      <c r="C215" t="s">
        <v>137</v>
      </c>
      <c r="D215" s="13">
        <v>45373</v>
      </c>
      <c r="E215" t="s">
        <v>18</v>
      </c>
      <c r="F215">
        <v>9091</v>
      </c>
      <c r="G215">
        <v>9566.76</v>
      </c>
      <c r="H215">
        <v>24157.07</v>
      </c>
      <c r="I215">
        <v>4524.07</v>
      </c>
      <c r="J215">
        <v>5</v>
      </c>
      <c r="K215">
        <v>5</v>
      </c>
      <c r="L215" t="s">
        <v>30</v>
      </c>
      <c r="M215" t="s">
        <v>31</v>
      </c>
      <c r="N215" t="s">
        <v>612</v>
      </c>
    </row>
    <row r="216" spans="1:14" x14ac:dyDescent="0.25">
      <c r="A216" t="s">
        <v>82</v>
      </c>
      <c r="B216" t="s">
        <v>83</v>
      </c>
      <c r="C216" t="s">
        <v>137</v>
      </c>
      <c r="D216" s="13">
        <v>45373</v>
      </c>
      <c r="E216" t="s">
        <v>18</v>
      </c>
      <c r="F216">
        <v>19905.07</v>
      </c>
      <c r="G216">
        <v>11105.17</v>
      </c>
      <c r="H216">
        <v>79007.16</v>
      </c>
      <c r="I216">
        <v>15266.74</v>
      </c>
      <c r="J216">
        <v>6</v>
      </c>
      <c r="K216">
        <v>7</v>
      </c>
      <c r="L216" t="s">
        <v>30</v>
      </c>
      <c r="M216" t="s">
        <v>43</v>
      </c>
      <c r="N216" t="s">
        <v>612</v>
      </c>
    </row>
    <row r="217" spans="1:14" x14ac:dyDescent="0.25">
      <c r="A217" t="s">
        <v>84</v>
      </c>
      <c r="B217" t="s">
        <v>85</v>
      </c>
      <c r="C217" t="s">
        <v>137</v>
      </c>
      <c r="D217" s="13">
        <v>45373</v>
      </c>
      <c r="E217" t="s">
        <v>18</v>
      </c>
      <c r="F217">
        <v>14209.75</v>
      </c>
      <c r="G217">
        <v>14251.08</v>
      </c>
      <c r="H217">
        <v>43038.39</v>
      </c>
      <c r="I217">
        <v>10397.120000000001</v>
      </c>
      <c r="J217">
        <v>3</v>
      </c>
      <c r="K217">
        <v>6</v>
      </c>
      <c r="L217" t="s">
        <v>112</v>
      </c>
      <c r="M217" t="s">
        <v>105</v>
      </c>
      <c r="N217" t="s">
        <v>612</v>
      </c>
    </row>
    <row r="218" spans="1:14" x14ac:dyDescent="0.25">
      <c r="A218" t="s">
        <v>90</v>
      </c>
      <c r="B218" t="s">
        <v>91</v>
      </c>
      <c r="C218" t="s">
        <v>137</v>
      </c>
      <c r="D218" s="13">
        <v>45373</v>
      </c>
      <c r="E218" t="s">
        <v>18</v>
      </c>
      <c r="F218">
        <v>12350.49</v>
      </c>
      <c r="G218">
        <v>12670.46</v>
      </c>
      <c r="H218">
        <v>58380.68</v>
      </c>
      <c r="I218">
        <v>12159.41</v>
      </c>
      <c r="J218">
        <v>4</v>
      </c>
      <c r="K218">
        <v>2</v>
      </c>
      <c r="L218" t="s">
        <v>30</v>
      </c>
      <c r="M218" t="s">
        <v>125</v>
      </c>
      <c r="N218" t="s">
        <v>612</v>
      </c>
    </row>
    <row r="219" spans="1:14" x14ac:dyDescent="0.25">
      <c r="A219" t="s">
        <v>93</v>
      </c>
      <c r="B219" t="s">
        <v>94</v>
      </c>
      <c r="C219" t="s">
        <v>137</v>
      </c>
      <c r="D219" s="13">
        <v>45373</v>
      </c>
      <c r="E219" t="s">
        <v>18</v>
      </c>
      <c r="F219">
        <v>25930.23</v>
      </c>
      <c r="G219">
        <v>14313.71</v>
      </c>
      <c r="H219">
        <v>107587.68</v>
      </c>
      <c r="I219">
        <v>32611.09</v>
      </c>
      <c r="J219">
        <v>7</v>
      </c>
      <c r="K219">
        <v>11</v>
      </c>
      <c r="L219" t="s">
        <v>112</v>
      </c>
      <c r="M219" t="s">
        <v>611</v>
      </c>
      <c r="N219" t="s">
        <v>612</v>
      </c>
    </row>
    <row r="220" spans="1:14" x14ac:dyDescent="0.25">
      <c r="A220" t="s">
        <v>96</v>
      </c>
      <c r="B220" t="s">
        <v>97</v>
      </c>
      <c r="C220" t="s">
        <v>137</v>
      </c>
      <c r="D220" s="13">
        <v>45373</v>
      </c>
      <c r="E220" t="s">
        <v>18</v>
      </c>
      <c r="F220">
        <v>24348.799999999999</v>
      </c>
      <c r="G220">
        <v>22777.919999999998</v>
      </c>
      <c r="H220">
        <v>97383</v>
      </c>
      <c r="I220">
        <v>26327.05</v>
      </c>
      <c r="J220">
        <v>3</v>
      </c>
      <c r="K220">
        <v>11</v>
      </c>
      <c r="L220" t="s">
        <v>30</v>
      </c>
      <c r="M220" t="s">
        <v>611</v>
      </c>
      <c r="N220" t="s">
        <v>612</v>
      </c>
    </row>
    <row r="221" spans="1:14" x14ac:dyDescent="0.25">
      <c r="A221" t="s">
        <v>14</v>
      </c>
      <c r="B221" t="s">
        <v>15</v>
      </c>
      <c r="C221" t="s">
        <v>16</v>
      </c>
      <c r="D221" s="13">
        <v>45380</v>
      </c>
      <c r="E221" t="s">
        <v>18</v>
      </c>
      <c r="F221">
        <v>133373.10999999999</v>
      </c>
      <c r="G221">
        <v>134133.21</v>
      </c>
      <c r="H221">
        <v>475304.88</v>
      </c>
      <c r="I221">
        <v>147437.68</v>
      </c>
      <c r="J221">
        <v>1</v>
      </c>
      <c r="K221">
        <v>2</v>
      </c>
      <c r="L221" t="s">
        <v>30</v>
      </c>
      <c r="M221" t="s">
        <v>611</v>
      </c>
      <c r="N221" t="s">
        <v>612</v>
      </c>
    </row>
    <row r="222" spans="1:14" x14ac:dyDescent="0.25">
      <c r="A222" t="s">
        <v>21</v>
      </c>
      <c r="B222" t="s">
        <v>22</v>
      </c>
      <c r="C222" t="s">
        <v>16</v>
      </c>
      <c r="D222" s="13">
        <v>45380</v>
      </c>
      <c r="E222" t="s">
        <v>18</v>
      </c>
      <c r="F222">
        <v>134643.51999999999</v>
      </c>
      <c r="G222">
        <v>215637.64</v>
      </c>
      <c r="H222">
        <v>424565.64</v>
      </c>
      <c r="I222">
        <v>117177.54</v>
      </c>
      <c r="J222">
        <v>5</v>
      </c>
      <c r="K222">
        <v>5</v>
      </c>
      <c r="L222" t="s">
        <v>30</v>
      </c>
      <c r="M222" t="s">
        <v>611</v>
      </c>
      <c r="N222" t="s">
        <v>612</v>
      </c>
    </row>
    <row r="223" spans="1:14" x14ac:dyDescent="0.25">
      <c r="A223" t="s">
        <v>27</v>
      </c>
      <c r="B223" t="s">
        <v>28</v>
      </c>
      <c r="C223" t="s">
        <v>16</v>
      </c>
      <c r="D223" s="13">
        <v>45380</v>
      </c>
      <c r="E223" t="s">
        <v>18</v>
      </c>
      <c r="F223">
        <v>178769.25</v>
      </c>
      <c r="G223">
        <v>181466.89</v>
      </c>
      <c r="H223">
        <v>781138.56</v>
      </c>
      <c r="I223">
        <v>233468.99</v>
      </c>
      <c r="J223">
        <v>2</v>
      </c>
      <c r="K223">
        <v>2</v>
      </c>
      <c r="L223" t="s">
        <v>30</v>
      </c>
      <c r="M223" t="s">
        <v>26</v>
      </c>
      <c r="N223" t="s">
        <v>612</v>
      </c>
    </row>
    <row r="224" spans="1:14" x14ac:dyDescent="0.25">
      <c r="A224" t="s">
        <v>32</v>
      </c>
      <c r="B224" t="s">
        <v>33</v>
      </c>
      <c r="C224" t="s">
        <v>16</v>
      </c>
      <c r="D224" s="13">
        <v>45380</v>
      </c>
      <c r="E224" t="s">
        <v>18</v>
      </c>
      <c r="F224">
        <v>146033.60999999999</v>
      </c>
      <c r="G224">
        <v>146970.51999999999</v>
      </c>
      <c r="H224">
        <v>388478.78</v>
      </c>
      <c r="I224">
        <v>75212.12</v>
      </c>
      <c r="J224">
        <v>1</v>
      </c>
      <c r="K224">
        <v>2</v>
      </c>
      <c r="L224" t="s">
        <v>30</v>
      </c>
      <c r="M224" t="s">
        <v>101</v>
      </c>
      <c r="N224" t="s">
        <v>612</v>
      </c>
    </row>
    <row r="225" spans="1:14" x14ac:dyDescent="0.25">
      <c r="A225" t="s">
        <v>39</v>
      </c>
      <c r="B225" t="s">
        <v>40</v>
      </c>
      <c r="C225" t="s">
        <v>16</v>
      </c>
      <c r="D225" s="13">
        <v>45380</v>
      </c>
      <c r="E225" t="s">
        <v>18</v>
      </c>
      <c r="F225">
        <v>210306.19</v>
      </c>
      <c r="G225">
        <v>210550.52</v>
      </c>
      <c r="H225">
        <v>543436.1</v>
      </c>
      <c r="I225">
        <v>145471.5</v>
      </c>
      <c r="J225">
        <v>2</v>
      </c>
      <c r="K225">
        <v>4</v>
      </c>
      <c r="L225" t="s">
        <v>30</v>
      </c>
      <c r="M225" t="s">
        <v>611</v>
      </c>
      <c r="N225" t="s">
        <v>612</v>
      </c>
    </row>
    <row r="226" spans="1:14" x14ac:dyDescent="0.25">
      <c r="A226" t="s">
        <v>44</v>
      </c>
      <c r="B226" t="s">
        <v>45</v>
      </c>
      <c r="C226" t="s">
        <v>16</v>
      </c>
      <c r="D226" s="13">
        <v>45380</v>
      </c>
      <c r="E226" t="s">
        <v>18</v>
      </c>
      <c r="F226">
        <v>108043.45</v>
      </c>
      <c r="G226">
        <v>104692.32</v>
      </c>
      <c r="H226">
        <v>5618386</v>
      </c>
      <c r="I226">
        <v>157301.01999999999</v>
      </c>
      <c r="J226">
        <v>5</v>
      </c>
      <c r="K226">
        <v>2</v>
      </c>
      <c r="L226" t="s">
        <v>112</v>
      </c>
      <c r="M226" t="s">
        <v>127</v>
      </c>
      <c r="N226" t="s">
        <v>612</v>
      </c>
    </row>
    <row r="227" spans="1:14" x14ac:dyDescent="0.25">
      <c r="A227" t="s">
        <v>49</v>
      </c>
      <c r="B227" t="s">
        <v>50</v>
      </c>
      <c r="C227" t="s">
        <v>51</v>
      </c>
      <c r="D227" s="13">
        <v>45380</v>
      </c>
      <c r="E227" t="s">
        <v>18</v>
      </c>
      <c r="F227">
        <v>47447.839999999997</v>
      </c>
      <c r="G227">
        <v>76862.399999999994</v>
      </c>
      <c r="H227">
        <v>222543.78</v>
      </c>
      <c r="I227">
        <v>61807.519999999997</v>
      </c>
      <c r="J227">
        <v>6</v>
      </c>
      <c r="K227">
        <v>5</v>
      </c>
      <c r="L227" t="s">
        <v>30</v>
      </c>
      <c r="M227" t="s">
        <v>611</v>
      </c>
      <c r="N227" t="s">
        <v>612</v>
      </c>
    </row>
    <row r="228" spans="1:14" x14ac:dyDescent="0.25">
      <c r="A228" t="s">
        <v>55</v>
      </c>
      <c r="B228" t="s">
        <v>56</v>
      </c>
      <c r="C228" t="s">
        <v>51</v>
      </c>
      <c r="D228" s="13">
        <v>45380</v>
      </c>
      <c r="E228" t="s">
        <v>18</v>
      </c>
      <c r="F228">
        <v>34053.26</v>
      </c>
      <c r="G228">
        <v>34599.449999999997</v>
      </c>
      <c r="H228">
        <v>142760.87</v>
      </c>
      <c r="I228">
        <v>33359.53</v>
      </c>
      <c r="J228">
        <v>3</v>
      </c>
      <c r="K228">
        <v>4</v>
      </c>
      <c r="L228" t="s">
        <v>30</v>
      </c>
      <c r="M228" t="s">
        <v>611</v>
      </c>
      <c r="N228" t="s">
        <v>612</v>
      </c>
    </row>
    <row r="229" spans="1:14" x14ac:dyDescent="0.25">
      <c r="A229" t="s">
        <v>59</v>
      </c>
      <c r="B229" t="s">
        <v>60</v>
      </c>
      <c r="C229" t="s">
        <v>51</v>
      </c>
      <c r="D229" s="13">
        <v>45380</v>
      </c>
      <c r="E229" t="s">
        <v>18</v>
      </c>
      <c r="F229">
        <v>56836.21</v>
      </c>
      <c r="G229">
        <v>32206.15</v>
      </c>
      <c r="H229">
        <v>212993.62</v>
      </c>
      <c r="I229">
        <v>64967.94</v>
      </c>
      <c r="J229">
        <v>3</v>
      </c>
      <c r="K229">
        <v>4</v>
      </c>
      <c r="L229" t="s">
        <v>30</v>
      </c>
      <c r="M229" t="s">
        <v>113</v>
      </c>
      <c r="N229" t="s">
        <v>612</v>
      </c>
    </row>
    <row r="230" spans="1:14" x14ac:dyDescent="0.25">
      <c r="A230" t="s">
        <v>62</v>
      </c>
      <c r="B230" t="s">
        <v>63</v>
      </c>
      <c r="C230" t="s">
        <v>51</v>
      </c>
      <c r="D230" s="13">
        <v>45380</v>
      </c>
      <c r="E230" t="s">
        <v>18</v>
      </c>
      <c r="F230">
        <v>62488.44</v>
      </c>
      <c r="G230">
        <v>59056.05</v>
      </c>
      <c r="H230">
        <v>214209.82</v>
      </c>
      <c r="I230">
        <v>71263.45</v>
      </c>
      <c r="J230">
        <v>5</v>
      </c>
      <c r="K230">
        <v>8</v>
      </c>
      <c r="L230" t="s">
        <v>30</v>
      </c>
      <c r="M230" t="s">
        <v>115</v>
      </c>
      <c r="N230" t="s">
        <v>612</v>
      </c>
    </row>
    <row r="231" spans="1:14" x14ac:dyDescent="0.25">
      <c r="A231" t="s">
        <v>66</v>
      </c>
      <c r="B231" t="s">
        <v>67</v>
      </c>
      <c r="C231" t="s">
        <v>51</v>
      </c>
      <c r="D231" s="13">
        <v>45380</v>
      </c>
      <c r="E231" t="s">
        <v>18</v>
      </c>
      <c r="F231">
        <v>53623.02</v>
      </c>
      <c r="G231">
        <v>54822.06</v>
      </c>
      <c r="H231">
        <v>195348.11</v>
      </c>
      <c r="I231">
        <v>52371.83</v>
      </c>
      <c r="J231">
        <v>3</v>
      </c>
      <c r="K231">
        <v>3</v>
      </c>
      <c r="L231" t="s">
        <v>30</v>
      </c>
      <c r="M231" t="s">
        <v>105</v>
      </c>
      <c r="N231" t="s">
        <v>612</v>
      </c>
    </row>
    <row r="232" spans="1:14" x14ac:dyDescent="0.25">
      <c r="A232" t="s">
        <v>68</v>
      </c>
      <c r="B232" t="s">
        <v>69</v>
      </c>
      <c r="C232" t="s">
        <v>51</v>
      </c>
      <c r="D232" s="13">
        <v>45380</v>
      </c>
      <c r="E232" t="s">
        <v>18</v>
      </c>
      <c r="F232">
        <v>87511.61</v>
      </c>
      <c r="G232">
        <v>85863.9</v>
      </c>
      <c r="H232">
        <v>327899.44</v>
      </c>
      <c r="I232">
        <v>98081.66</v>
      </c>
      <c r="J232">
        <v>3</v>
      </c>
      <c r="K232">
        <v>3</v>
      </c>
      <c r="L232" t="s">
        <v>30</v>
      </c>
      <c r="M232" t="s">
        <v>105</v>
      </c>
      <c r="N232" t="s">
        <v>612</v>
      </c>
    </row>
    <row r="233" spans="1:14" x14ac:dyDescent="0.25">
      <c r="A233" t="s">
        <v>74</v>
      </c>
      <c r="B233" t="s">
        <v>75</v>
      </c>
      <c r="C233" t="s">
        <v>51</v>
      </c>
      <c r="D233" s="13">
        <v>45380</v>
      </c>
      <c r="E233" t="s">
        <v>18</v>
      </c>
      <c r="F233">
        <v>81378.52</v>
      </c>
      <c r="G233">
        <v>78410.45</v>
      </c>
      <c r="H233">
        <v>10929.47</v>
      </c>
      <c r="I233">
        <v>2217.15</v>
      </c>
      <c r="J233">
        <v>6</v>
      </c>
      <c r="K233">
        <v>3</v>
      </c>
      <c r="L233" t="s">
        <v>30</v>
      </c>
      <c r="M233" t="s">
        <v>31</v>
      </c>
      <c r="N233" t="s">
        <v>613</v>
      </c>
    </row>
    <row r="234" spans="1:14" x14ac:dyDescent="0.25">
      <c r="A234" t="s">
        <v>78</v>
      </c>
      <c r="B234" t="s">
        <v>79</v>
      </c>
      <c r="C234" t="s">
        <v>137</v>
      </c>
      <c r="D234" s="13">
        <v>45380</v>
      </c>
      <c r="E234" t="s">
        <v>18</v>
      </c>
      <c r="F234">
        <v>25006.28</v>
      </c>
      <c r="G234">
        <v>24755.49</v>
      </c>
      <c r="H234">
        <v>78755.350000000006</v>
      </c>
      <c r="I234">
        <v>21639.89</v>
      </c>
      <c r="J234">
        <v>6</v>
      </c>
      <c r="K234">
        <v>7</v>
      </c>
      <c r="L234" t="s">
        <v>30</v>
      </c>
      <c r="M234" t="s">
        <v>73</v>
      </c>
      <c r="N234" t="s">
        <v>612</v>
      </c>
    </row>
    <row r="235" spans="1:14" x14ac:dyDescent="0.25">
      <c r="A235" t="s">
        <v>82</v>
      </c>
      <c r="B235" t="s">
        <v>83</v>
      </c>
      <c r="C235" t="s">
        <v>137</v>
      </c>
      <c r="D235" s="13">
        <v>45380</v>
      </c>
      <c r="E235" t="s">
        <v>18</v>
      </c>
      <c r="F235">
        <v>35957.01</v>
      </c>
      <c r="G235">
        <v>20041.87</v>
      </c>
      <c r="H235">
        <v>145056.32999999999</v>
      </c>
      <c r="I235">
        <v>49699.35</v>
      </c>
      <c r="J235">
        <v>4</v>
      </c>
      <c r="K235">
        <v>8</v>
      </c>
      <c r="L235" t="s">
        <v>30</v>
      </c>
      <c r="M235" t="s">
        <v>31</v>
      </c>
      <c r="N235" t="s">
        <v>612</v>
      </c>
    </row>
    <row r="236" spans="1:14" x14ac:dyDescent="0.25">
      <c r="A236" t="s">
        <v>84</v>
      </c>
      <c r="B236" t="s">
        <v>85</v>
      </c>
      <c r="C236" t="s">
        <v>137</v>
      </c>
      <c r="D236" s="13">
        <v>45380</v>
      </c>
      <c r="E236" t="s">
        <v>18</v>
      </c>
      <c r="F236">
        <v>18677.29</v>
      </c>
      <c r="G236">
        <v>20125.5</v>
      </c>
      <c r="H236">
        <v>86980.46</v>
      </c>
      <c r="I236">
        <v>24335.08</v>
      </c>
      <c r="J236">
        <v>9</v>
      </c>
      <c r="K236">
        <v>14</v>
      </c>
      <c r="L236" t="s">
        <v>30</v>
      </c>
      <c r="M236" t="s">
        <v>127</v>
      </c>
      <c r="N236" t="s">
        <v>612</v>
      </c>
    </row>
    <row r="237" spans="1:14" x14ac:dyDescent="0.25">
      <c r="A237" t="s">
        <v>90</v>
      </c>
      <c r="B237" t="s">
        <v>91</v>
      </c>
      <c r="C237" t="s">
        <v>137</v>
      </c>
      <c r="D237" s="13">
        <v>45380</v>
      </c>
      <c r="E237" t="s">
        <v>18</v>
      </c>
      <c r="F237">
        <v>22807.71</v>
      </c>
      <c r="G237">
        <v>20647.2</v>
      </c>
      <c r="H237">
        <v>86896.4</v>
      </c>
      <c r="I237">
        <v>17176.62</v>
      </c>
      <c r="J237">
        <v>11</v>
      </c>
      <c r="K237">
        <v>8</v>
      </c>
      <c r="L237" t="s">
        <v>30</v>
      </c>
      <c r="M237" t="s">
        <v>115</v>
      </c>
      <c r="N237" t="s">
        <v>612</v>
      </c>
    </row>
    <row r="238" spans="1:14" x14ac:dyDescent="0.25">
      <c r="A238" t="s">
        <v>93</v>
      </c>
      <c r="B238" t="s">
        <v>94</v>
      </c>
      <c r="C238" t="s">
        <v>137</v>
      </c>
      <c r="D238" s="13">
        <v>45380</v>
      </c>
      <c r="E238" t="s">
        <v>18</v>
      </c>
      <c r="F238">
        <v>42085.97</v>
      </c>
      <c r="G238">
        <v>24257.8</v>
      </c>
      <c r="H238">
        <v>203575.92</v>
      </c>
      <c r="I238">
        <v>41319.71</v>
      </c>
      <c r="J238">
        <v>10</v>
      </c>
      <c r="K238">
        <v>10</v>
      </c>
      <c r="L238" t="s">
        <v>30</v>
      </c>
      <c r="M238" t="s">
        <v>26</v>
      </c>
      <c r="N238" t="s">
        <v>612</v>
      </c>
    </row>
    <row r="239" spans="1:14" x14ac:dyDescent="0.25">
      <c r="A239" t="s">
        <v>96</v>
      </c>
      <c r="B239" t="s">
        <v>97</v>
      </c>
      <c r="C239" t="s">
        <v>137</v>
      </c>
      <c r="D239" s="13">
        <v>45380</v>
      </c>
      <c r="E239" t="s">
        <v>18</v>
      </c>
      <c r="F239">
        <v>17876.150000000001</v>
      </c>
      <c r="G239">
        <v>17017.400000000001</v>
      </c>
      <c r="H239">
        <v>45162.12</v>
      </c>
      <c r="I239">
        <v>13951.02</v>
      </c>
      <c r="J239">
        <v>4</v>
      </c>
      <c r="K239">
        <v>6</v>
      </c>
      <c r="L239" t="s">
        <v>30</v>
      </c>
      <c r="M239" t="s">
        <v>73</v>
      </c>
      <c r="N239" t="s">
        <v>612</v>
      </c>
    </row>
    <row r="240" spans="1:14" x14ac:dyDescent="0.25">
      <c r="A240" t="s">
        <v>14</v>
      </c>
      <c r="B240" t="s">
        <v>15</v>
      </c>
      <c r="C240" t="s">
        <v>16</v>
      </c>
      <c r="D240" s="13">
        <v>45387</v>
      </c>
      <c r="E240" t="s">
        <v>205</v>
      </c>
      <c r="F240">
        <v>191547.43</v>
      </c>
      <c r="G240">
        <v>193025.02</v>
      </c>
      <c r="H240">
        <v>676035.96</v>
      </c>
      <c r="I240">
        <v>167053.79</v>
      </c>
      <c r="J240">
        <v>2</v>
      </c>
      <c r="K240">
        <v>4</v>
      </c>
      <c r="L240" t="s">
        <v>30</v>
      </c>
      <c r="M240" t="s">
        <v>31</v>
      </c>
      <c r="N240" t="s">
        <v>612</v>
      </c>
    </row>
    <row r="241" spans="1:14" x14ac:dyDescent="0.25">
      <c r="A241" t="s">
        <v>21</v>
      </c>
      <c r="B241" t="s">
        <v>22</v>
      </c>
      <c r="C241" t="s">
        <v>16</v>
      </c>
      <c r="D241" s="13">
        <v>45387</v>
      </c>
      <c r="E241" t="s">
        <v>205</v>
      </c>
      <c r="F241">
        <v>139609.98000000001</v>
      </c>
      <c r="G241">
        <v>244369.07</v>
      </c>
      <c r="H241">
        <v>396710</v>
      </c>
      <c r="I241">
        <v>102116.49</v>
      </c>
      <c r="J241">
        <v>4</v>
      </c>
      <c r="K241">
        <v>3</v>
      </c>
      <c r="L241" t="s">
        <v>30</v>
      </c>
      <c r="M241" t="s">
        <v>31</v>
      </c>
      <c r="N241" t="s">
        <v>612</v>
      </c>
    </row>
    <row r="242" spans="1:14" x14ac:dyDescent="0.25">
      <c r="A242" t="s">
        <v>27</v>
      </c>
      <c r="B242" t="s">
        <v>28</v>
      </c>
      <c r="C242" t="s">
        <v>16</v>
      </c>
      <c r="D242" s="13">
        <v>45387</v>
      </c>
      <c r="E242" t="s">
        <v>205</v>
      </c>
      <c r="F242">
        <v>141378</v>
      </c>
      <c r="G242">
        <v>130253.64</v>
      </c>
      <c r="H242">
        <v>406704.34</v>
      </c>
      <c r="I242">
        <v>96846.55</v>
      </c>
      <c r="J242">
        <v>3</v>
      </c>
      <c r="K242">
        <v>2</v>
      </c>
      <c r="L242" t="s">
        <v>30</v>
      </c>
      <c r="M242" t="s">
        <v>31</v>
      </c>
      <c r="N242" t="s">
        <v>612</v>
      </c>
    </row>
    <row r="243" spans="1:14" x14ac:dyDescent="0.25">
      <c r="A243" t="s">
        <v>32</v>
      </c>
      <c r="B243" t="s">
        <v>33</v>
      </c>
      <c r="C243" t="s">
        <v>16</v>
      </c>
      <c r="D243" s="13">
        <v>45387</v>
      </c>
      <c r="E243" t="s">
        <v>205</v>
      </c>
      <c r="F243">
        <v>89993.86</v>
      </c>
      <c r="G243">
        <v>89564</v>
      </c>
      <c r="H243">
        <v>426503.16</v>
      </c>
      <c r="I243">
        <v>104437.04</v>
      </c>
      <c r="J243">
        <v>1</v>
      </c>
      <c r="K243">
        <v>4</v>
      </c>
      <c r="L243" t="s">
        <v>30</v>
      </c>
      <c r="M243" t="s">
        <v>101</v>
      </c>
      <c r="N243" t="s">
        <v>612</v>
      </c>
    </row>
    <row r="244" spans="1:14" x14ac:dyDescent="0.25">
      <c r="A244" t="s">
        <v>39</v>
      </c>
      <c r="B244" t="s">
        <v>40</v>
      </c>
      <c r="C244" t="s">
        <v>16</v>
      </c>
      <c r="D244" s="13">
        <v>45387</v>
      </c>
      <c r="E244" t="s">
        <v>205</v>
      </c>
      <c r="F244">
        <v>175401.92</v>
      </c>
      <c r="G244">
        <v>170128.9</v>
      </c>
      <c r="H244">
        <v>508056.69</v>
      </c>
      <c r="I244">
        <v>155771.79999999999</v>
      </c>
      <c r="J244">
        <v>5</v>
      </c>
      <c r="K244">
        <v>6</v>
      </c>
      <c r="L244" t="s">
        <v>30</v>
      </c>
      <c r="M244" t="s">
        <v>611</v>
      </c>
      <c r="N244" t="s">
        <v>612</v>
      </c>
    </row>
    <row r="245" spans="1:14" x14ac:dyDescent="0.25">
      <c r="A245" t="s">
        <v>44</v>
      </c>
      <c r="B245" t="s">
        <v>45</v>
      </c>
      <c r="C245" t="s">
        <v>16</v>
      </c>
      <c r="D245" s="13">
        <v>45387</v>
      </c>
      <c r="E245" t="s">
        <v>205</v>
      </c>
      <c r="F245">
        <v>103430.45</v>
      </c>
      <c r="G245">
        <v>99725.16</v>
      </c>
      <c r="H245">
        <v>360922.7</v>
      </c>
      <c r="I245">
        <v>124410.75</v>
      </c>
      <c r="J245">
        <v>5</v>
      </c>
      <c r="K245">
        <v>2</v>
      </c>
      <c r="L245" t="s">
        <v>30</v>
      </c>
      <c r="M245" t="s">
        <v>115</v>
      </c>
      <c r="N245" t="s">
        <v>612</v>
      </c>
    </row>
    <row r="246" spans="1:14" x14ac:dyDescent="0.25">
      <c r="A246" t="s">
        <v>49</v>
      </c>
      <c r="B246" t="s">
        <v>50</v>
      </c>
      <c r="C246" t="s">
        <v>51</v>
      </c>
      <c r="D246" s="13">
        <v>45387</v>
      </c>
      <c r="E246" t="s">
        <v>205</v>
      </c>
      <c r="F246">
        <v>49504.24</v>
      </c>
      <c r="G246">
        <v>83705.56</v>
      </c>
      <c r="H246">
        <v>162960.48000000001</v>
      </c>
      <c r="I246">
        <v>47191.7</v>
      </c>
      <c r="J246">
        <v>3</v>
      </c>
      <c r="K246">
        <v>4</v>
      </c>
      <c r="L246" t="s">
        <v>30</v>
      </c>
      <c r="M246" t="s">
        <v>611</v>
      </c>
      <c r="N246" t="s">
        <v>612</v>
      </c>
    </row>
    <row r="247" spans="1:14" x14ac:dyDescent="0.25">
      <c r="A247" t="s">
        <v>55</v>
      </c>
      <c r="B247" t="s">
        <v>56</v>
      </c>
      <c r="C247" t="s">
        <v>51</v>
      </c>
      <c r="D247" s="13">
        <v>45387</v>
      </c>
      <c r="E247" t="s">
        <v>205</v>
      </c>
      <c r="F247">
        <v>62564.04</v>
      </c>
      <c r="G247">
        <v>62378.080000000002</v>
      </c>
      <c r="H247">
        <v>241437.86</v>
      </c>
      <c r="I247">
        <v>62683.81</v>
      </c>
      <c r="J247">
        <v>5</v>
      </c>
      <c r="K247">
        <v>3</v>
      </c>
      <c r="L247" t="s">
        <v>112</v>
      </c>
      <c r="M247" t="s">
        <v>611</v>
      </c>
      <c r="N247" t="s">
        <v>612</v>
      </c>
    </row>
    <row r="248" spans="1:14" x14ac:dyDescent="0.25">
      <c r="A248" t="s">
        <v>59</v>
      </c>
      <c r="B248" t="s">
        <v>60</v>
      </c>
      <c r="C248" t="s">
        <v>51</v>
      </c>
      <c r="D248" s="13">
        <v>45387</v>
      </c>
      <c r="E248" t="s">
        <v>205</v>
      </c>
      <c r="F248">
        <v>56995.99</v>
      </c>
      <c r="G248">
        <v>30885.33</v>
      </c>
      <c r="H248">
        <v>188185.67</v>
      </c>
      <c r="I248">
        <v>64814.48</v>
      </c>
      <c r="J248">
        <v>4</v>
      </c>
      <c r="K248">
        <v>4</v>
      </c>
      <c r="L248" t="s">
        <v>30</v>
      </c>
      <c r="M248" t="s">
        <v>115</v>
      </c>
      <c r="N248" t="s">
        <v>612</v>
      </c>
    </row>
    <row r="249" spans="1:14" x14ac:dyDescent="0.25">
      <c r="A249" t="s">
        <v>62</v>
      </c>
      <c r="B249" t="s">
        <v>63</v>
      </c>
      <c r="C249" t="s">
        <v>51</v>
      </c>
      <c r="D249" s="13">
        <v>45387</v>
      </c>
      <c r="E249" t="s">
        <v>205</v>
      </c>
      <c r="F249">
        <v>37786.46</v>
      </c>
      <c r="G249">
        <v>42020.35</v>
      </c>
      <c r="H249">
        <v>104579</v>
      </c>
      <c r="I249">
        <v>19389.919999999998</v>
      </c>
      <c r="J249">
        <v>6</v>
      </c>
      <c r="K249">
        <v>4</v>
      </c>
      <c r="L249" t="s">
        <v>30</v>
      </c>
      <c r="M249" t="s">
        <v>611</v>
      </c>
      <c r="N249" t="s">
        <v>612</v>
      </c>
    </row>
    <row r="250" spans="1:14" x14ac:dyDescent="0.25">
      <c r="A250" t="s">
        <v>66</v>
      </c>
      <c r="B250" t="s">
        <v>67</v>
      </c>
      <c r="C250" t="s">
        <v>51</v>
      </c>
      <c r="D250" s="13">
        <v>45387</v>
      </c>
      <c r="E250" t="s">
        <v>205</v>
      </c>
      <c r="F250">
        <v>79924.66</v>
      </c>
      <c r="G250">
        <v>79158.8</v>
      </c>
      <c r="H250">
        <v>271928.89</v>
      </c>
      <c r="I250">
        <v>90109.95</v>
      </c>
      <c r="J250">
        <v>3</v>
      </c>
      <c r="K250">
        <v>1</v>
      </c>
      <c r="L250" t="s">
        <v>30</v>
      </c>
      <c r="M250" t="s">
        <v>127</v>
      </c>
      <c r="N250" t="s">
        <v>612</v>
      </c>
    </row>
    <row r="251" spans="1:14" x14ac:dyDescent="0.25">
      <c r="A251" t="s">
        <v>68</v>
      </c>
      <c r="B251" t="s">
        <v>69</v>
      </c>
      <c r="C251" t="s">
        <v>51</v>
      </c>
      <c r="D251" s="13">
        <v>45387</v>
      </c>
      <c r="E251" t="s">
        <v>205</v>
      </c>
      <c r="F251">
        <v>43861.08</v>
      </c>
      <c r="G251">
        <v>42352.23</v>
      </c>
      <c r="H251">
        <v>167351.07999999999</v>
      </c>
      <c r="I251">
        <v>47913.49</v>
      </c>
      <c r="J251">
        <v>2</v>
      </c>
      <c r="K251">
        <v>4</v>
      </c>
      <c r="L251" t="s">
        <v>112</v>
      </c>
      <c r="M251" t="s">
        <v>125</v>
      </c>
      <c r="N251" t="s">
        <v>612</v>
      </c>
    </row>
    <row r="252" spans="1:14" x14ac:dyDescent="0.25">
      <c r="A252" t="s">
        <v>74</v>
      </c>
      <c r="B252" t="s">
        <v>75</v>
      </c>
      <c r="C252" t="s">
        <v>51</v>
      </c>
      <c r="D252" s="13">
        <v>45387</v>
      </c>
      <c r="E252" t="s">
        <v>205</v>
      </c>
      <c r="F252">
        <v>60281.57</v>
      </c>
      <c r="G252">
        <v>63130.45</v>
      </c>
      <c r="H252">
        <v>291389.03000000003</v>
      </c>
      <c r="I252">
        <v>79698.929999999993</v>
      </c>
      <c r="J252">
        <v>3</v>
      </c>
      <c r="K252">
        <v>8</v>
      </c>
      <c r="L252" t="s">
        <v>30</v>
      </c>
      <c r="M252" t="s">
        <v>31</v>
      </c>
      <c r="N252" t="s">
        <v>612</v>
      </c>
    </row>
    <row r="253" spans="1:14" x14ac:dyDescent="0.25">
      <c r="A253" t="s">
        <v>78</v>
      </c>
      <c r="B253" t="s">
        <v>79</v>
      </c>
      <c r="C253" t="s">
        <v>137</v>
      </c>
      <c r="D253" s="13">
        <v>45387</v>
      </c>
      <c r="E253" t="s">
        <v>205</v>
      </c>
      <c r="F253">
        <v>208214</v>
      </c>
      <c r="G253">
        <v>24862.54</v>
      </c>
      <c r="H253">
        <v>87243.1</v>
      </c>
      <c r="I253">
        <v>24539.71</v>
      </c>
      <c r="J253">
        <v>10</v>
      </c>
      <c r="K253">
        <v>2</v>
      </c>
      <c r="L253" t="s">
        <v>30</v>
      </c>
      <c r="M253" t="s">
        <v>43</v>
      </c>
      <c r="N253" t="s">
        <v>612</v>
      </c>
    </row>
    <row r="254" spans="1:14" x14ac:dyDescent="0.25">
      <c r="A254" t="s">
        <v>82</v>
      </c>
      <c r="B254" t="s">
        <v>83</v>
      </c>
      <c r="C254" t="s">
        <v>137</v>
      </c>
      <c r="D254" s="13">
        <v>45387</v>
      </c>
      <c r="E254" t="s">
        <v>205</v>
      </c>
      <c r="F254">
        <v>27100.35</v>
      </c>
      <c r="G254">
        <v>15642.24</v>
      </c>
      <c r="H254">
        <v>83536.429999999993</v>
      </c>
      <c r="I254">
        <v>16341.72</v>
      </c>
      <c r="J254">
        <v>8</v>
      </c>
      <c r="K254">
        <v>5</v>
      </c>
      <c r="L254" t="s">
        <v>30</v>
      </c>
      <c r="M254" t="s">
        <v>611</v>
      </c>
      <c r="N254" t="s">
        <v>612</v>
      </c>
    </row>
    <row r="255" spans="1:14" x14ac:dyDescent="0.25">
      <c r="A255" t="s">
        <v>84</v>
      </c>
      <c r="B255" t="s">
        <v>85</v>
      </c>
      <c r="C255" t="s">
        <v>137</v>
      </c>
      <c r="D255" s="13">
        <v>45387</v>
      </c>
      <c r="E255" t="s">
        <v>205</v>
      </c>
      <c r="F255">
        <v>9009.0300000000007</v>
      </c>
      <c r="G255">
        <v>10397.959999999999</v>
      </c>
      <c r="H255">
        <v>1839.47</v>
      </c>
      <c r="I255">
        <v>439.91</v>
      </c>
      <c r="J255">
        <v>8</v>
      </c>
      <c r="K255">
        <v>8</v>
      </c>
      <c r="L255" t="s">
        <v>30</v>
      </c>
      <c r="M255" t="s">
        <v>43</v>
      </c>
      <c r="N255" t="s">
        <v>613</v>
      </c>
    </row>
    <row r="256" spans="1:14" x14ac:dyDescent="0.25">
      <c r="A256" t="s">
        <v>87</v>
      </c>
      <c r="B256" t="s">
        <v>88</v>
      </c>
      <c r="C256" t="s">
        <v>137</v>
      </c>
      <c r="D256" s="13">
        <v>45387</v>
      </c>
      <c r="E256" t="s">
        <v>205</v>
      </c>
      <c r="F256">
        <v>26839.75</v>
      </c>
      <c r="G256">
        <v>22185.71</v>
      </c>
      <c r="H256">
        <v>116187.86</v>
      </c>
      <c r="I256">
        <v>29715.599999999999</v>
      </c>
      <c r="J256">
        <v>11</v>
      </c>
      <c r="K256">
        <v>12</v>
      </c>
      <c r="L256" t="s">
        <v>30</v>
      </c>
      <c r="M256" t="s">
        <v>611</v>
      </c>
      <c r="N256" t="s">
        <v>612</v>
      </c>
    </row>
    <row r="257" spans="1:14" x14ac:dyDescent="0.25">
      <c r="A257" t="s">
        <v>90</v>
      </c>
      <c r="B257" t="s">
        <v>91</v>
      </c>
      <c r="C257" t="s">
        <v>137</v>
      </c>
      <c r="D257" s="13">
        <v>45387</v>
      </c>
      <c r="E257" t="s">
        <v>205</v>
      </c>
      <c r="F257">
        <v>10297.129999999999</v>
      </c>
      <c r="G257">
        <v>10306.52</v>
      </c>
      <c r="H257">
        <v>43707.99</v>
      </c>
      <c r="I257">
        <v>11440.87</v>
      </c>
      <c r="J257">
        <v>5</v>
      </c>
      <c r="K257">
        <v>14</v>
      </c>
      <c r="L257" t="s">
        <v>30</v>
      </c>
      <c r="M257" t="s">
        <v>611</v>
      </c>
      <c r="N257" t="s">
        <v>612</v>
      </c>
    </row>
    <row r="258" spans="1:14" x14ac:dyDescent="0.25">
      <c r="A258" t="s">
        <v>93</v>
      </c>
      <c r="B258" t="s">
        <v>94</v>
      </c>
      <c r="C258" t="s">
        <v>137</v>
      </c>
      <c r="D258" s="13">
        <v>45387</v>
      </c>
      <c r="E258" t="s">
        <v>205</v>
      </c>
      <c r="F258">
        <v>23659.21</v>
      </c>
      <c r="G258">
        <v>11367.57</v>
      </c>
      <c r="H258">
        <v>69159.13</v>
      </c>
      <c r="I258">
        <v>22108.05</v>
      </c>
      <c r="J258">
        <v>9</v>
      </c>
      <c r="K258">
        <v>6</v>
      </c>
      <c r="L258" t="s">
        <v>30</v>
      </c>
      <c r="M258" t="s">
        <v>105</v>
      </c>
      <c r="N258" t="s">
        <v>612</v>
      </c>
    </row>
    <row r="259" spans="1:14" x14ac:dyDescent="0.25">
      <c r="A259" t="s">
        <v>96</v>
      </c>
      <c r="B259" t="s">
        <v>97</v>
      </c>
      <c r="C259" t="s">
        <v>137</v>
      </c>
      <c r="D259" s="13">
        <v>45387</v>
      </c>
      <c r="E259" t="s">
        <v>205</v>
      </c>
      <c r="F259">
        <v>33021.699999999997</v>
      </c>
      <c r="G259">
        <v>39110.120000000003</v>
      </c>
      <c r="H259">
        <v>106303.88</v>
      </c>
      <c r="I259">
        <v>33669.39</v>
      </c>
      <c r="J259">
        <v>6</v>
      </c>
      <c r="K259">
        <v>15</v>
      </c>
      <c r="L259" t="s">
        <v>30</v>
      </c>
      <c r="M259" t="s">
        <v>43</v>
      </c>
      <c r="N259" t="s">
        <v>612</v>
      </c>
    </row>
    <row r="260" spans="1:14" x14ac:dyDescent="0.25">
      <c r="A260" t="s">
        <v>14</v>
      </c>
      <c r="B260" t="s">
        <v>15</v>
      </c>
      <c r="C260" t="s">
        <v>16</v>
      </c>
      <c r="D260" s="13">
        <v>45394</v>
      </c>
      <c r="E260" t="s">
        <v>205</v>
      </c>
      <c r="F260">
        <v>173556.48000000001</v>
      </c>
      <c r="G260">
        <v>170129.97</v>
      </c>
      <c r="H260">
        <v>544731.46</v>
      </c>
      <c r="I260">
        <v>116636.99</v>
      </c>
      <c r="J260">
        <v>6</v>
      </c>
      <c r="K260">
        <v>1</v>
      </c>
      <c r="L260" t="s">
        <v>30</v>
      </c>
      <c r="M260" t="s">
        <v>113</v>
      </c>
      <c r="N260" t="s">
        <v>612</v>
      </c>
    </row>
    <row r="261" spans="1:14" x14ac:dyDescent="0.25">
      <c r="A261" t="s">
        <v>21</v>
      </c>
      <c r="B261" t="s">
        <v>22</v>
      </c>
      <c r="C261" t="s">
        <v>16</v>
      </c>
      <c r="D261" s="13">
        <v>45394</v>
      </c>
      <c r="E261" t="s">
        <v>205</v>
      </c>
      <c r="F261">
        <v>142985</v>
      </c>
      <c r="G261">
        <v>259948.23</v>
      </c>
      <c r="H261">
        <v>680562.86</v>
      </c>
      <c r="I261">
        <v>191583.95</v>
      </c>
      <c r="J261">
        <v>1</v>
      </c>
      <c r="K261">
        <v>2</v>
      </c>
      <c r="L261" t="s">
        <v>30</v>
      </c>
      <c r="M261" t="s">
        <v>611</v>
      </c>
      <c r="N261" t="s">
        <v>612</v>
      </c>
    </row>
    <row r="262" spans="1:14" x14ac:dyDescent="0.25">
      <c r="A262" t="s">
        <v>27</v>
      </c>
      <c r="B262" t="s">
        <v>28</v>
      </c>
      <c r="C262" t="s">
        <v>16</v>
      </c>
      <c r="D262" s="13">
        <v>45394</v>
      </c>
      <c r="E262" t="s">
        <v>205</v>
      </c>
      <c r="F262">
        <v>129752.94</v>
      </c>
      <c r="G262">
        <v>125649.14</v>
      </c>
      <c r="H262">
        <v>587746.06000000006</v>
      </c>
      <c r="I262">
        <v>193588.94</v>
      </c>
      <c r="J262">
        <v>1</v>
      </c>
      <c r="K262">
        <v>5</v>
      </c>
      <c r="L262" t="s">
        <v>112</v>
      </c>
      <c r="M262" t="s">
        <v>611</v>
      </c>
      <c r="N262" t="s">
        <v>612</v>
      </c>
    </row>
    <row r="263" spans="1:14" x14ac:dyDescent="0.25">
      <c r="A263" t="s">
        <v>32</v>
      </c>
      <c r="B263" t="s">
        <v>33</v>
      </c>
      <c r="C263" t="s">
        <v>16</v>
      </c>
      <c r="D263" s="13">
        <v>45394</v>
      </c>
      <c r="E263" t="s">
        <v>205</v>
      </c>
      <c r="F263">
        <v>176113.26</v>
      </c>
      <c r="G263">
        <v>173783.87</v>
      </c>
      <c r="H263">
        <v>628048.52</v>
      </c>
      <c r="I263">
        <v>177682.91</v>
      </c>
      <c r="J263">
        <v>4</v>
      </c>
      <c r="K263">
        <v>3</v>
      </c>
      <c r="L263" t="s">
        <v>30</v>
      </c>
      <c r="M263" t="s">
        <v>43</v>
      </c>
      <c r="N263" t="s">
        <v>612</v>
      </c>
    </row>
    <row r="264" spans="1:14" x14ac:dyDescent="0.25">
      <c r="A264" t="s">
        <v>39</v>
      </c>
      <c r="B264" t="s">
        <v>40</v>
      </c>
      <c r="C264" t="s">
        <v>16</v>
      </c>
      <c r="D264" s="13">
        <v>45394</v>
      </c>
      <c r="E264" t="s">
        <v>205</v>
      </c>
      <c r="F264">
        <v>207260.29</v>
      </c>
      <c r="G264">
        <v>216215.6</v>
      </c>
      <c r="H264">
        <v>682661.63</v>
      </c>
      <c r="I264">
        <v>232966.65</v>
      </c>
      <c r="J264">
        <v>1</v>
      </c>
      <c r="K264">
        <v>3</v>
      </c>
      <c r="L264" t="s">
        <v>30</v>
      </c>
      <c r="M264" t="s">
        <v>31</v>
      </c>
      <c r="N264" t="s">
        <v>612</v>
      </c>
    </row>
    <row r="265" spans="1:14" x14ac:dyDescent="0.25">
      <c r="A265" t="s">
        <v>44</v>
      </c>
      <c r="B265" t="s">
        <v>45</v>
      </c>
      <c r="C265" t="s">
        <v>16</v>
      </c>
      <c r="D265" s="13">
        <v>45394</v>
      </c>
      <c r="E265" t="s">
        <v>205</v>
      </c>
      <c r="F265">
        <v>106310.7</v>
      </c>
      <c r="G265">
        <v>100043.41</v>
      </c>
      <c r="H265">
        <v>468417.58</v>
      </c>
      <c r="I265">
        <v>105565.7</v>
      </c>
      <c r="J265">
        <v>5</v>
      </c>
      <c r="K265">
        <v>1</v>
      </c>
      <c r="L265" t="s">
        <v>30</v>
      </c>
      <c r="M265" t="s">
        <v>611</v>
      </c>
      <c r="N265" t="s">
        <v>612</v>
      </c>
    </row>
    <row r="266" spans="1:14" x14ac:dyDescent="0.25">
      <c r="A266" t="s">
        <v>49</v>
      </c>
      <c r="B266" t="s">
        <v>50</v>
      </c>
      <c r="C266" t="s">
        <v>51</v>
      </c>
      <c r="D266" s="13">
        <v>45394</v>
      </c>
      <c r="E266" t="s">
        <v>205</v>
      </c>
      <c r="F266">
        <v>39373.03</v>
      </c>
      <c r="G266">
        <v>64006.7</v>
      </c>
      <c r="H266">
        <v>120705.22</v>
      </c>
      <c r="I266">
        <v>41606.910000000003</v>
      </c>
      <c r="J266">
        <v>3</v>
      </c>
      <c r="K266">
        <v>4</v>
      </c>
      <c r="L266" t="s">
        <v>112</v>
      </c>
      <c r="M266" t="s">
        <v>611</v>
      </c>
      <c r="N266" t="s">
        <v>612</v>
      </c>
    </row>
    <row r="267" spans="1:14" x14ac:dyDescent="0.25">
      <c r="A267" t="s">
        <v>55</v>
      </c>
      <c r="B267" t="s">
        <v>56</v>
      </c>
      <c r="C267" t="s">
        <v>51</v>
      </c>
      <c r="D267" s="13">
        <v>45394</v>
      </c>
      <c r="E267" t="s">
        <v>205</v>
      </c>
      <c r="F267">
        <v>83255.210000000006</v>
      </c>
      <c r="G267">
        <v>81445.8</v>
      </c>
      <c r="H267">
        <v>334671</v>
      </c>
      <c r="I267">
        <v>101216.06</v>
      </c>
      <c r="J267">
        <v>4</v>
      </c>
      <c r="K267">
        <v>1</v>
      </c>
      <c r="L267" t="s">
        <v>30</v>
      </c>
      <c r="M267" t="s">
        <v>611</v>
      </c>
      <c r="N267" t="s">
        <v>612</v>
      </c>
    </row>
    <row r="268" spans="1:14" x14ac:dyDescent="0.25">
      <c r="A268" t="s">
        <v>59</v>
      </c>
      <c r="B268" t="s">
        <v>60</v>
      </c>
      <c r="C268" t="s">
        <v>51</v>
      </c>
      <c r="D268" s="13">
        <v>45394</v>
      </c>
      <c r="E268" t="s">
        <v>205</v>
      </c>
      <c r="F268">
        <v>100168.29</v>
      </c>
      <c r="G268">
        <v>54247.51</v>
      </c>
      <c r="H268">
        <v>297963.19</v>
      </c>
      <c r="I268">
        <v>98431.42</v>
      </c>
      <c r="J268">
        <v>3</v>
      </c>
      <c r="K268">
        <v>1</v>
      </c>
      <c r="L268" t="s">
        <v>30</v>
      </c>
      <c r="M268" t="s">
        <v>127</v>
      </c>
      <c r="N268" t="s">
        <v>612</v>
      </c>
    </row>
    <row r="269" spans="1:14" x14ac:dyDescent="0.25">
      <c r="A269" t="s">
        <v>62</v>
      </c>
      <c r="B269" t="s">
        <v>63</v>
      </c>
      <c r="C269" t="s">
        <v>51</v>
      </c>
      <c r="D269" s="13">
        <v>45394</v>
      </c>
      <c r="E269" t="s">
        <v>205</v>
      </c>
      <c r="F269">
        <v>65126.86</v>
      </c>
      <c r="G269">
        <v>72831.27</v>
      </c>
      <c r="H269">
        <v>226815.16</v>
      </c>
      <c r="I269">
        <v>41787.31</v>
      </c>
      <c r="J269">
        <v>4</v>
      </c>
      <c r="K269">
        <v>3</v>
      </c>
      <c r="L269" t="s">
        <v>30</v>
      </c>
      <c r="M269" t="s">
        <v>26</v>
      </c>
      <c r="N269" t="s">
        <v>612</v>
      </c>
    </row>
    <row r="270" spans="1:14" x14ac:dyDescent="0.25">
      <c r="A270" t="s">
        <v>68</v>
      </c>
      <c r="B270" t="s">
        <v>69</v>
      </c>
      <c r="C270" t="s">
        <v>51</v>
      </c>
      <c r="D270" s="13">
        <v>45394</v>
      </c>
      <c r="E270" t="s">
        <v>205</v>
      </c>
      <c r="F270">
        <v>51776.6</v>
      </c>
      <c r="G270">
        <v>52146.559999999998</v>
      </c>
      <c r="H270">
        <v>223529.15</v>
      </c>
      <c r="I270">
        <v>63493.98</v>
      </c>
      <c r="J270">
        <v>2</v>
      </c>
      <c r="K270">
        <v>7</v>
      </c>
      <c r="L270" t="s">
        <v>30</v>
      </c>
      <c r="M270" t="s">
        <v>115</v>
      </c>
      <c r="N270" t="s">
        <v>612</v>
      </c>
    </row>
    <row r="271" spans="1:14" x14ac:dyDescent="0.25">
      <c r="A271" t="s">
        <v>74</v>
      </c>
      <c r="B271" t="s">
        <v>75</v>
      </c>
      <c r="C271" t="s">
        <v>51</v>
      </c>
      <c r="D271" s="13">
        <v>45394</v>
      </c>
      <c r="E271" t="s">
        <v>205</v>
      </c>
      <c r="F271">
        <v>48571.1</v>
      </c>
      <c r="G271">
        <v>52485.4</v>
      </c>
      <c r="H271">
        <v>156493.72</v>
      </c>
      <c r="I271">
        <v>52073.62</v>
      </c>
      <c r="J271">
        <v>2</v>
      </c>
      <c r="K271">
        <v>8</v>
      </c>
      <c r="L271" t="s">
        <v>30</v>
      </c>
      <c r="M271" t="s">
        <v>611</v>
      </c>
      <c r="N271" t="s">
        <v>612</v>
      </c>
    </row>
    <row r="272" spans="1:14" x14ac:dyDescent="0.25">
      <c r="A272" t="s">
        <v>78</v>
      </c>
      <c r="B272" t="s">
        <v>79</v>
      </c>
      <c r="C272" t="s">
        <v>137</v>
      </c>
      <c r="D272" s="13">
        <v>45394</v>
      </c>
      <c r="E272" t="s">
        <v>205</v>
      </c>
      <c r="F272">
        <v>20250.939999999999</v>
      </c>
      <c r="G272">
        <v>19662.400000000001</v>
      </c>
      <c r="H272">
        <v>81008.929999999993</v>
      </c>
      <c r="I272">
        <v>22119.33</v>
      </c>
      <c r="J272">
        <v>11</v>
      </c>
      <c r="K272">
        <v>11</v>
      </c>
      <c r="L272" t="s">
        <v>30</v>
      </c>
      <c r="M272" t="s">
        <v>611</v>
      </c>
      <c r="N272" t="s">
        <v>612</v>
      </c>
    </row>
    <row r="273" spans="1:14" x14ac:dyDescent="0.25">
      <c r="A273" t="s">
        <v>82</v>
      </c>
      <c r="B273" t="s">
        <v>83</v>
      </c>
      <c r="C273" t="s">
        <v>137</v>
      </c>
      <c r="D273" s="13">
        <v>45394</v>
      </c>
      <c r="E273" t="s">
        <v>205</v>
      </c>
      <c r="F273">
        <v>44075.22</v>
      </c>
      <c r="G273">
        <v>22113.97</v>
      </c>
      <c r="H273">
        <v>141523.4</v>
      </c>
      <c r="I273">
        <v>42311.81</v>
      </c>
      <c r="J273">
        <v>11</v>
      </c>
      <c r="K273">
        <v>12</v>
      </c>
      <c r="L273" t="s">
        <v>30</v>
      </c>
      <c r="M273" t="s">
        <v>611</v>
      </c>
      <c r="N273" t="s">
        <v>612</v>
      </c>
    </row>
    <row r="274" spans="1:14" x14ac:dyDescent="0.25">
      <c r="A274" t="s">
        <v>84</v>
      </c>
      <c r="B274" t="s">
        <v>85</v>
      </c>
      <c r="C274" t="s">
        <v>137</v>
      </c>
      <c r="D274" s="13">
        <v>45394</v>
      </c>
      <c r="E274" t="s">
        <v>205</v>
      </c>
      <c r="F274">
        <v>9753</v>
      </c>
      <c r="G274">
        <v>9610.69</v>
      </c>
      <c r="H274">
        <v>41319.050000000003</v>
      </c>
      <c r="I274">
        <v>11139.57</v>
      </c>
      <c r="J274">
        <v>10</v>
      </c>
      <c r="K274">
        <v>3</v>
      </c>
      <c r="L274" t="s">
        <v>30</v>
      </c>
      <c r="M274" t="s">
        <v>611</v>
      </c>
      <c r="N274" t="s">
        <v>612</v>
      </c>
    </row>
    <row r="275" spans="1:14" x14ac:dyDescent="0.25">
      <c r="A275" t="s">
        <v>87</v>
      </c>
      <c r="B275" t="s">
        <v>88</v>
      </c>
      <c r="C275" t="s">
        <v>137</v>
      </c>
      <c r="D275" s="13">
        <v>45394</v>
      </c>
      <c r="E275" t="s">
        <v>205</v>
      </c>
      <c r="F275">
        <v>34629.519999999997</v>
      </c>
      <c r="G275">
        <v>30944.720000000001</v>
      </c>
      <c r="H275">
        <v>159970.88</v>
      </c>
      <c r="I275">
        <v>44435.79</v>
      </c>
      <c r="J275">
        <v>11</v>
      </c>
      <c r="K275">
        <v>11</v>
      </c>
      <c r="L275" t="s">
        <v>30</v>
      </c>
      <c r="M275" t="s">
        <v>73</v>
      </c>
      <c r="N275" t="s">
        <v>612</v>
      </c>
    </row>
    <row r="276" spans="1:14" x14ac:dyDescent="0.25">
      <c r="A276" t="s">
        <v>90</v>
      </c>
      <c r="B276" t="s">
        <v>91</v>
      </c>
      <c r="C276" t="s">
        <v>137</v>
      </c>
      <c r="D276" s="13">
        <v>45394</v>
      </c>
      <c r="E276" t="s">
        <v>205</v>
      </c>
      <c r="F276">
        <v>8042.68</v>
      </c>
      <c r="G276">
        <v>6128.47</v>
      </c>
      <c r="H276">
        <v>36126.379999999997</v>
      </c>
      <c r="I276">
        <v>7776.07</v>
      </c>
      <c r="J276">
        <v>11</v>
      </c>
      <c r="K276">
        <v>12</v>
      </c>
      <c r="L276" t="s">
        <v>112</v>
      </c>
      <c r="M276" t="s">
        <v>26</v>
      </c>
      <c r="N276" t="s">
        <v>612</v>
      </c>
    </row>
    <row r="277" spans="1:14" x14ac:dyDescent="0.25">
      <c r="A277" t="s">
        <v>93</v>
      </c>
      <c r="B277" t="s">
        <v>94</v>
      </c>
      <c r="C277" t="s">
        <v>137</v>
      </c>
      <c r="D277" s="13">
        <v>45394</v>
      </c>
      <c r="E277" t="s">
        <v>205</v>
      </c>
      <c r="F277">
        <v>28198.1</v>
      </c>
      <c r="G277">
        <v>16025.42</v>
      </c>
      <c r="H277">
        <v>98414.84</v>
      </c>
      <c r="I277">
        <v>33777.86</v>
      </c>
      <c r="J277">
        <v>4</v>
      </c>
      <c r="K277">
        <v>7</v>
      </c>
      <c r="L277" t="s">
        <v>30</v>
      </c>
      <c r="M277" t="s">
        <v>611</v>
      </c>
      <c r="N277" t="s">
        <v>612</v>
      </c>
    </row>
    <row r="278" spans="1:14" x14ac:dyDescent="0.25">
      <c r="A278" t="s">
        <v>96</v>
      </c>
      <c r="B278" t="s">
        <v>97</v>
      </c>
      <c r="C278" t="s">
        <v>137</v>
      </c>
      <c r="D278" s="13">
        <v>45394</v>
      </c>
      <c r="E278" t="s">
        <v>205</v>
      </c>
      <c r="F278">
        <v>29982.5</v>
      </c>
      <c r="G278">
        <v>36395.61</v>
      </c>
      <c r="H278">
        <v>137552.64000000001</v>
      </c>
      <c r="I278">
        <v>41712</v>
      </c>
      <c r="J278">
        <v>7</v>
      </c>
      <c r="K278">
        <v>2</v>
      </c>
      <c r="L278" t="s">
        <v>30</v>
      </c>
      <c r="M278" t="s">
        <v>611</v>
      </c>
      <c r="N278" t="s">
        <v>612</v>
      </c>
    </row>
    <row r="279" spans="1:14" x14ac:dyDescent="0.25">
      <c r="A279" t="s">
        <v>14</v>
      </c>
      <c r="B279" t="s">
        <v>15</v>
      </c>
      <c r="C279" t="s">
        <v>16</v>
      </c>
      <c r="D279" s="13">
        <v>45401</v>
      </c>
      <c r="E279" t="s">
        <v>205</v>
      </c>
      <c r="F279">
        <v>159937.43</v>
      </c>
      <c r="G279">
        <v>157111.43</v>
      </c>
      <c r="H279">
        <v>745545.81</v>
      </c>
      <c r="I279">
        <v>223585.65</v>
      </c>
      <c r="J279">
        <v>3</v>
      </c>
      <c r="K279">
        <v>2</v>
      </c>
      <c r="L279" t="s">
        <v>30</v>
      </c>
      <c r="M279" t="s">
        <v>125</v>
      </c>
      <c r="N279" t="s">
        <v>612</v>
      </c>
    </row>
    <row r="280" spans="1:14" x14ac:dyDescent="0.25">
      <c r="A280" t="s">
        <v>21</v>
      </c>
      <c r="B280" t="s">
        <v>22</v>
      </c>
      <c r="C280" t="s">
        <v>16</v>
      </c>
      <c r="D280" s="13">
        <v>45401</v>
      </c>
      <c r="E280" t="s">
        <v>205</v>
      </c>
      <c r="F280">
        <v>134569.85</v>
      </c>
      <c r="G280">
        <v>240510.97</v>
      </c>
      <c r="H280">
        <v>605236.42000000004</v>
      </c>
      <c r="I280">
        <v>124795.65</v>
      </c>
      <c r="J280">
        <v>3</v>
      </c>
      <c r="K280">
        <v>1</v>
      </c>
      <c r="L280" t="s">
        <v>112</v>
      </c>
      <c r="M280" t="s">
        <v>101</v>
      </c>
      <c r="N280" t="s">
        <v>612</v>
      </c>
    </row>
    <row r="281" spans="1:14" x14ac:dyDescent="0.25">
      <c r="A281" t="s">
        <v>27</v>
      </c>
      <c r="B281" t="s">
        <v>28</v>
      </c>
      <c r="C281" t="s">
        <v>16</v>
      </c>
      <c r="D281" s="13">
        <v>45401</v>
      </c>
      <c r="E281" t="s">
        <v>205</v>
      </c>
      <c r="F281">
        <v>144311.57999999999</v>
      </c>
      <c r="G281">
        <v>149245.35999999999</v>
      </c>
      <c r="H281">
        <v>362261</v>
      </c>
      <c r="I281">
        <v>107518.87</v>
      </c>
      <c r="J281">
        <v>5</v>
      </c>
      <c r="K281">
        <v>2</v>
      </c>
      <c r="L281" t="s">
        <v>30</v>
      </c>
      <c r="M281" t="s">
        <v>101</v>
      </c>
      <c r="N281" t="s">
        <v>612</v>
      </c>
    </row>
    <row r="282" spans="1:14" x14ac:dyDescent="0.25">
      <c r="A282" t="s">
        <v>32</v>
      </c>
      <c r="B282" t="s">
        <v>33</v>
      </c>
      <c r="C282" t="s">
        <v>16</v>
      </c>
      <c r="D282" s="13">
        <v>45401</v>
      </c>
      <c r="E282" t="s">
        <v>205</v>
      </c>
      <c r="F282">
        <v>106956.39</v>
      </c>
      <c r="G282">
        <v>103134.19</v>
      </c>
      <c r="H282">
        <v>474027.27</v>
      </c>
      <c r="I282">
        <v>107296.65</v>
      </c>
      <c r="J282">
        <v>2</v>
      </c>
      <c r="K282">
        <v>6</v>
      </c>
      <c r="L282" t="s">
        <v>30</v>
      </c>
      <c r="M282" t="s">
        <v>611</v>
      </c>
      <c r="N282" t="s">
        <v>612</v>
      </c>
    </row>
    <row r="283" spans="1:14" x14ac:dyDescent="0.25">
      <c r="A283" t="s">
        <v>39</v>
      </c>
      <c r="B283" t="s">
        <v>40</v>
      </c>
      <c r="C283" t="s">
        <v>16</v>
      </c>
      <c r="D283" s="13">
        <v>45401</v>
      </c>
      <c r="E283" t="s">
        <v>205</v>
      </c>
      <c r="F283">
        <v>89974</v>
      </c>
      <c r="G283">
        <v>91604.52</v>
      </c>
      <c r="H283">
        <v>5020.42</v>
      </c>
      <c r="I283">
        <v>1674.61</v>
      </c>
      <c r="J283">
        <v>1</v>
      </c>
      <c r="K283">
        <v>6</v>
      </c>
      <c r="L283" t="s">
        <v>30</v>
      </c>
      <c r="M283" t="s">
        <v>611</v>
      </c>
      <c r="N283" t="s">
        <v>613</v>
      </c>
    </row>
    <row r="284" spans="1:14" x14ac:dyDescent="0.25">
      <c r="A284" t="s">
        <v>44</v>
      </c>
      <c r="B284" t="s">
        <v>45</v>
      </c>
      <c r="C284" t="s">
        <v>16</v>
      </c>
      <c r="D284" s="13">
        <v>45401</v>
      </c>
      <c r="E284" t="s">
        <v>205</v>
      </c>
      <c r="F284">
        <v>126526.49</v>
      </c>
      <c r="G284">
        <v>120415.71</v>
      </c>
      <c r="H284">
        <v>624307.62</v>
      </c>
      <c r="I284">
        <v>161800.69</v>
      </c>
      <c r="J284">
        <v>2</v>
      </c>
      <c r="K284">
        <v>2</v>
      </c>
      <c r="L284" t="s">
        <v>30</v>
      </c>
      <c r="M284" t="s">
        <v>611</v>
      </c>
      <c r="N284" t="s">
        <v>612</v>
      </c>
    </row>
    <row r="285" spans="1:14" x14ac:dyDescent="0.25">
      <c r="A285" t="s">
        <v>49</v>
      </c>
      <c r="B285" t="s">
        <v>50</v>
      </c>
      <c r="C285" t="s">
        <v>51</v>
      </c>
      <c r="D285" s="13">
        <v>45401</v>
      </c>
      <c r="E285" t="s">
        <v>205</v>
      </c>
      <c r="F285">
        <v>36693.5</v>
      </c>
      <c r="G285">
        <v>64735.35</v>
      </c>
      <c r="H285">
        <v>5323.01</v>
      </c>
      <c r="I285">
        <v>1276.17</v>
      </c>
      <c r="J285">
        <v>4</v>
      </c>
      <c r="K285">
        <v>6</v>
      </c>
      <c r="L285" t="s">
        <v>30</v>
      </c>
      <c r="M285" t="s">
        <v>73</v>
      </c>
      <c r="N285" t="s">
        <v>613</v>
      </c>
    </row>
    <row r="286" spans="1:14" x14ac:dyDescent="0.25">
      <c r="A286" t="s">
        <v>55</v>
      </c>
      <c r="B286" t="s">
        <v>56</v>
      </c>
      <c r="C286" t="s">
        <v>51</v>
      </c>
      <c r="D286" s="13">
        <v>45401</v>
      </c>
      <c r="E286" t="s">
        <v>205</v>
      </c>
      <c r="F286">
        <v>54048.99</v>
      </c>
      <c r="G286">
        <v>52645.48</v>
      </c>
      <c r="H286">
        <v>209162.7</v>
      </c>
      <c r="I286">
        <v>51296.9</v>
      </c>
      <c r="J286">
        <v>3</v>
      </c>
      <c r="K286">
        <v>4</v>
      </c>
      <c r="L286" t="s">
        <v>30</v>
      </c>
      <c r="M286" t="s">
        <v>611</v>
      </c>
      <c r="N286" t="s">
        <v>612</v>
      </c>
    </row>
    <row r="287" spans="1:14" x14ac:dyDescent="0.25">
      <c r="A287" t="s">
        <v>59</v>
      </c>
      <c r="B287" t="s">
        <v>60</v>
      </c>
      <c r="C287" t="s">
        <v>51</v>
      </c>
      <c r="D287" s="13">
        <v>45401</v>
      </c>
      <c r="E287" t="s">
        <v>205</v>
      </c>
      <c r="F287">
        <v>49116.51</v>
      </c>
      <c r="G287">
        <v>24426.52</v>
      </c>
      <c r="H287">
        <v>144423.89000000001</v>
      </c>
      <c r="I287">
        <v>27705.31</v>
      </c>
      <c r="J287">
        <v>1</v>
      </c>
      <c r="K287">
        <v>8</v>
      </c>
      <c r="L287" t="s">
        <v>30</v>
      </c>
      <c r="M287" t="s">
        <v>113</v>
      </c>
      <c r="N287" t="s">
        <v>612</v>
      </c>
    </row>
    <row r="288" spans="1:14" x14ac:dyDescent="0.25">
      <c r="A288" t="s">
        <v>62</v>
      </c>
      <c r="B288" t="s">
        <v>63</v>
      </c>
      <c r="C288" t="s">
        <v>51</v>
      </c>
      <c r="D288" s="13">
        <v>45401</v>
      </c>
      <c r="E288" t="s">
        <v>205</v>
      </c>
      <c r="F288">
        <v>69652.88</v>
      </c>
      <c r="G288">
        <v>68670.240000000005</v>
      </c>
      <c r="H288">
        <v>242040.75</v>
      </c>
      <c r="I288">
        <v>51618.42</v>
      </c>
      <c r="J288">
        <v>6</v>
      </c>
      <c r="K288">
        <v>5</v>
      </c>
      <c r="L288" t="s">
        <v>30</v>
      </c>
      <c r="M288" t="s">
        <v>611</v>
      </c>
      <c r="N288" t="s">
        <v>612</v>
      </c>
    </row>
    <row r="289" spans="1:14" x14ac:dyDescent="0.25">
      <c r="A289" t="s">
        <v>66</v>
      </c>
      <c r="B289" t="s">
        <v>67</v>
      </c>
      <c r="C289" t="s">
        <v>51</v>
      </c>
      <c r="D289" s="13">
        <v>45401</v>
      </c>
      <c r="E289" t="s">
        <v>205</v>
      </c>
      <c r="F289">
        <v>37653.339999999997</v>
      </c>
      <c r="G289">
        <v>35328.449999999997</v>
      </c>
      <c r="H289">
        <v>178954.63</v>
      </c>
      <c r="I289">
        <v>32237.49</v>
      </c>
      <c r="J289">
        <v>5</v>
      </c>
      <c r="K289">
        <v>6</v>
      </c>
      <c r="L289" t="s">
        <v>30</v>
      </c>
      <c r="M289" t="s">
        <v>611</v>
      </c>
      <c r="N289" t="s">
        <v>612</v>
      </c>
    </row>
    <row r="290" spans="1:14" x14ac:dyDescent="0.25">
      <c r="A290" t="s">
        <v>68</v>
      </c>
      <c r="B290" t="s">
        <v>69</v>
      </c>
      <c r="C290" t="s">
        <v>51</v>
      </c>
      <c r="D290" s="13">
        <v>45401</v>
      </c>
      <c r="E290" t="s">
        <v>205</v>
      </c>
      <c r="F290">
        <v>42672</v>
      </c>
      <c r="G290">
        <v>38492</v>
      </c>
      <c r="H290">
        <v>126762.9</v>
      </c>
      <c r="I290">
        <v>42739.63</v>
      </c>
      <c r="J290">
        <v>4</v>
      </c>
      <c r="K290">
        <v>3</v>
      </c>
      <c r="L290" t="s">
        <v>30</v>
      </c>
      <c r="M290" t="s">
        <v>26</v>
      </c>
      <c r="N290" t="s">
        <v>612</v>
      </c>
    </row>
    <row r="291" spans="1:14" x14ac:dyDescent="0.25">
      <c r="A291" t="s">
        <v>74</v>
      </c>
      <c r="B291" t="s">
        <v>75</v>
      </c>
      <c r="C291" t="s">
        <v>51</v>
      </c>
      <c r="D291" s="13">
        <v>45401</v>
      </c>
      <c r="E291" t="s">
        <v>205</v>
      </c>
      <c r="F291">
        <v>78356.5</v>
      </c>
      <c r="G291">
        <v>86822.59</v>
      </c>
      <c r="H291">
        <v>317980.15999999997</v>
      </c>
      <c r="I291">
        <v>80163.179999999993</v>
      </c>
      <c r="J291">
        <v>4</v>
      </c>
      <c r="K291">
        <v>7</v>
      </c>
      <c r="L291" t="s">
        <v>30</v>
      </c>
      <c r="M291" t="s">
        <v>611</v>
      </c>
      <c r="N291" t="s">
        <v>612</v>
      </c>
    </row>
    <row r="292" spans="1:14" x14ac:dyDescent="0.25">
      <c r="A292" t="s">
        <v>78</v>
      </c>
      <c r="B292" t="s">
        <v>79</v>
      </c>
      <c r="C292" t="s">
        <v>137</v>
      </c>
      <c r="D292" s="13">
        <v>45401</v>
      </c>
      <c r="E292" t="s">
        <v>205</v>
      </c>
      <c r="F292">
        <v>8903.4699999999993</v>
      </c>
      <c r="G292">
        <v>6846.17</v>
      </c>
      <c r="H292">
        <v>37948.43</v>
      </c>
      <c r="I292">
        <v>9937.2000000000007</v>
      </c>
      <c r="J292">
        <v>3</v>
      </c>
      <c r="K292">
        <v>9</v>
      </c>
      <c r="L292" t="s">
        <v>30</v>
      </c>
      <c r="M292" t="s">
        <v>26</v>
      </c>
      <c r="N292" t="s">
        <v>612</v>
      </c>
    </row>
    <row r="293" spans="1:14" x14ac:dyDescent="0.25">
      <c r="A293" t="s">
        <v>82</v>
      </c>
      <c r="B293" t="s">
        <v>83</v>
      </c>
      <c r="C293" t="s">
        <v>137</v>
      </c>
      <c r="D293" s="13">
        <v>45401</v>
      </c>
      <c r="E293" t="s">
        <v>205</v>
      </c>
      <c r="F293">
        <v>30708.74</v>
      </c>
      <c r="G293">
        <v>17312.75</v>
      </c>
      <c r="H293">
        <v>136540.79999999999</v>
      </c>
      <c r="I293">
        <v>36477.25</v>
      </c>
      <c r="J293">
        <v>9</v>
      </c>
      <c r="K293">
        <v>10</v>
      </c>
      <c r="L293" t="s">
        <v>30</v>
      </c>
      <c r="M293" t="s">
        <v>611</v>
      </c>
      <c r="N293" t="s">
        <v>612</v>
      </c>
    </row>
    <row r="294" spans="1:14" x14ac:dyDescent="0.25">
      <c r="A294" t="s">
        <v>84</v>
      </c>
      <c r="B294" t="s">
        <v>85</v>
      </c>
      <c r="C294" t="s">
        <v>137</v>
      </c>
      <c r="D294" s="13">
        <v>45401</v>
      </c>
      <c r="E294" t="s">
        <v>205</v>
      </c>
      <c r="F294">
        <v>24991.1</v>
      </c>
      <c r="G294">
        <v>25967.52</v>
      </c>
      <c r="H294">
        <v>65702.850000000006</v>
      </c>
      <c r="I294">
        <v>20861.46</v>
      </c>
      <c r="J294">
        <v>11</v>
      </c>
      <c r="K294">
        <v>11</v>
      </c>
      <c r="L294" t="s">
        <v>30</v>
      </c>
      <c r="M294" t="s">
        <v>31</v>
      </c>
      <c r="N294" t="s">
        <v>612</v>
      </c>
    </row>
    <row r="295" spans="1:14" x14ac:dyDescent="0.25">
      <c r="A295" t="s">
        <v>90</v>
      </c>
      <c r="B295" t="s">
        <v>91</v>
      </c>
      <c r="C295" t="s">
        <v>137</v>
      </c>
      <c r="D295" s="13">
        <v>45401</v>
      </c>
      <c r="E295" t="s">
        <v>205</v>
      </c>
      <c r="F295">
        <v>12714.57</v>
      </c>
      <c r="G295">
        <v>13297.98</v>
      </c>
      <c r="H295">
        <v>52738.64</v>
      </c>
      <c r="I295">
        <v>11065.51</v>
      </c>
      <c r="J295">
        <v>5</v>
      </c>
      <c r="K295">
        <v>4</v>
      </c>
      <c r="L295" t="s">
        <v>30</v>
      </c>
      <c r="M295" t="s">
        <v>611</v>
      </c>
      <c r="N295" t="s">
        <v>612</v>
      </c>
    </row>
    <row r="296" spans="1:14" x14ac:dyDescent="0.25">
      <c r="A296" t="s">
        <v>93</v>
      </c>
      <c r="B296" t="s">
        <v>94</v>
      </c>
      <c r="C296" t="s">
        <v>137</v>
      </c>
      <c r="D296" s="13">
        <v>45401</v>
      </c>
      <c r="E296" t="s">
        <v>205</v>
      </c>
      <c r="F296">
        <v>26269.78</v>
      </c>
      <c r="G296">
        <v>14823.61</v>
      </c>
      <c r="H296">
        <v>69242.27</v>
      </c>
      <c r="I296">
        <v>22110.46</v>
      </c>
      <c r="J296">
        <v>2</v>
      </c>
      <c r="K296">
        <v>7</v>
      </c>
      <c r="L296" t="s">
        <v>30</v>
      </c>
      <c r="M296" t="s">
        <v>611</v>
      </c>
      <c r="N296" t="s">
        <v>612</v>
      </c>
    </row>
    <row r="297" spans="1:14" x14ac:dyDescent="0.25">
      <c r="A297" t="s">
        <v>96</v>
      </c>
      <c r="B297" t="s">
        <v>97</v>
      </c>
      <c r="C297" t="s">
        <v>137</v>
      </c>
      <c r="D297" s="13">
        <v>45401</v>
      </c>
      <c r="E297" t="s">
        <v>205</v>
      </c>
      <c r="F297">
        <v>22321.94</v>
      </c>
      <c r="G297">
        <v>21593.51</v>
      </c>
      <c r="H297">
        <v>107548.35</v>
      </c>
      <c r="I297">
        <v>31763.75</v>
      </c>
      <c r="J297">
        <v>10</v>
      </c>
      <c r="K297">
        <v>6</v>
      </c>
      <c r="L297" t="s">
        <v>30</v>
      </c>
      <c r="M297" t="s">
        <v>127</v>
      </c>
      <c r="N297" t="s">
        <v>612</v>
      </c>
    </row>
    <row r="298" spans="1:14" x14ac:dyDescent="0.25">
      <c r="A298" t="s">
        <v>14</v>
      </c>
      <c r="B298" t="s">
        <v>15</v>
      </c>
      <c r="C298" t="s">
        <v>16</v>
      </c>
      <c r="D298" s="13">
        <v>45408</v>
      </c>
      <c r="E298" t="s">
        <v>205</v>
      </c>
      <c r="F298">
        <v>8161784</v>
      </c>
      <c r="G298">
        <v>160778.03</v>
      </c>
      <c r="H298">
        <v>701463.7</v>
      </c>
      <c r="I298">
        <v>149508.13</v>
      </c>
      <c r="J298">
        <v>3</v>
      </c>
      <c r="K298">
        <v>4</v>
      </c>
      <c r="L298" t="s">
        <v>30</v>
      </c>
      <c r="M298" t="s">
        <v>73</v>
      </c>
      <c r="N298" t="s">
        <v>613</v>
      </c>
    </row>
    <row r="299" spans="1:14" x14ac:dyDescent="0.25">
      <c r="A299" t="s">
        <v>21</v>
      </c>
      <c r="B299" t="s">
        <v>22</v>
      </c>
      <c r="C299" t="s">
        <v>16</v>
      </c>
      <c r="D299" s="13">
        <v>45408</v>
      </c>
      <c r="E299" t="s">
        <v>205</v>
      </c>
      <c r="F299">
        <v>67330.509999999995</v>
      </c>
      <c r="G299">
        <v>109273.42</v>
      </c>
      <c r="H299">
        <v>328318.56</v>
      </c>
      <c r="I299">
        <v>98617.95</v>
      </c>
      <c r="J299">
        <v>1</v>
      </c>
      <c r="K299">
        <v>4</v>
      </c>
      <c r="L299" t="s">
        <v>30</v>
      </c>
      <c r="M299" t="s">
        <v>125</v>
      </c>
      <c r="N299" t="s">
        <v>612</v>
      </c>
    </row>
    <row r="300" spans="1:14" x14ac:dyDescent="0.25">
      <c r="A300" t="s">
        <v>27</v>
      </c>
      <c r="B300" t="s">
        <v>28</v>
      </c>
      <c r="C300" t="s">
        <v>16</v>
      </c>
      <c r="D300" s="13">
        <v>45408</v>
      </c>
      <c r="E300" t="s">
        <v>205</v>
      </c>
      <c r="F300">
        <v>145373.78</v>
      </c>
      <c r="G300">
        <v>155519.29</v>
      </c>
      <c r="H300">
        <v>698773.75</v>
      </c>
      <c r="I300">
        <v>176501.29</v>
      </c>
      <c r="J300">
        <v>6</v>
      </c>
      <c r="K300">
        <v>8</v>
      </c>
      <c r="L300" t="s">
        <v>30</v>
      </c>
      <c r="M300" t="s">
        <v>31</v>
      </c>
      <c r="N300" t="s">
        <v>612</v>
      </c>
    </row>
    <row r="301" spans="1:14" x14ac:dyDescent="0.25">
      <c r="A301" t="s">
        <v>32</v>
      </c>
      <c r="B301" t="s">
        <v>33</v>
      </c>
      <c r="C301" t="s">
        <v>16</v>
      </c>
      <c r="D301" s="13">
        <v>45408</v>
      </c>
      <c r="E301" t="s">
        <v>205</v>
      </c>
      <c r="F301">
        <v>89715.79</v>
      </c>
      <c r="G301">
        <v>96597.66</v>
      </c>
      <c r="H301">
        <v>361173.75</v>
      </c>
      <c r="I301">
        <v>95223.37</v>
      </c>
      <c r="J301">
        <v>2</v>
      </c>
      <c r="K301">
        <v>4</v>
      </c>
      <c r="L301" t="s">
        <v>30</v>
      </c>
      <c r="M301" t="s">
        <v>113</v>
      </c>
      <c r="N301" t="s">
        <v>612</v>
      </c>
    </row>
    <row r="302" spans="1:14" x14ac:dyDescent="0.25">
      <c r="A302" t="s">
        <v>39</v>
      </c>
      <c r="B302" t="s">
        <v>40</v>
      </c>
      <c r="C302" t="s">
        <v>16</v>
      </c>
      <c r="D302" s="13">
        <v>45408</v>
      </c>
      <c r="E302" t="s">
        <v>205</v>
      </c>
      <c r="F302">
        <v>100839.6</v>
      </c>
      <c r="G302">
        <v>103103.81</v>
      </c>
      <c r="H302">
        <v>419645.46</v>
      </c>
      <c r="I302">
        <v>125477.93</v>
      </c>
      <c r="J302">
        <v>4</v>
      </c>
      <c r="K302">
        <v>1</v>
      </c>
      <c r="L302" t="s">
        <v>30</v>
      </c>
      <c r="M302" t="s">
        <v>113</v>
      </c>
      <c r="N302" t="s">
        <v>612</v>
      </c>
    </row>
    <row r="303" spans="1:14" x14ac:dyDescent="0.25">
      <c r="A303" t="s">
        <v>44</v>
      </c>
      <c r="B303" t="s">
        <v>45</v>
      </c>
      <c r="C303" t="s">
        <v>16</v>
      </c>
      <c r="D303" s="13">
        <v>45408</v>
      </c>
      <c r="E303" t="s">
        <v>205</v>
      </c>
      <c r="F303">
        <v>176496.58</v>
      </c>
      <c r="G303">
        <v>184398.83</v>
      </c>
      <c r="H303">
        <v>691532.98</v>
      </c>
      <c r="I303">
        <v>166670.59</v>
      </c>
      <c r="J303">
        <v>6</v>
      </c>
      <c r="K303">
        <v>2</v>
      </c>
      <c r="L303" t="s">
        <v>30</v>
      </c>
      <c r="M303" t="s">
        <v>101</v>
      </c>
      <c r="N303" t="s">
        <v>612</v>
      </c>
    </row>
    <row r="304" spans="1:14" x14ac:dyDescent="0.25">
      <c r="A304" t="s">
        <v>49</v>
      </c>
      <c r="B304" t="s">
        <v>50</v>
      </c>
      <c r="C304" t="s">
        <v>51</v>
      </c>
      <c r="D304" s="13">
        <v>45408</v>
      </c>
      <c r="E304" t="s">
        <v>205</v>
      </c>
      <c r="F304">
        <v>25269.81</v>
      </c>
      <c r="G304">
        <v>42209.64</v>
      </c>
      <c r="H304">
        <v>103013.47</v>
      </c>
      <c r="I304">
        <v>20028.560000000001</v>
      </c>
      <c r="J304">
        <v>6</v>
      </c>
      <c r="K304">
        <v>2</v>
      </c>
      <c r="L304" t="s">
        <v>30</v>
      </c>
      <c r="M304" t="s">
        <v>73</v>
      </c>
      <c r="N304" t="s">
        <v>612</v>
      </c>
    </row>
    <row r="305" spans="1:14" x14ac:dyDescent="0.25">
      <c r="A305" t="s">
        <v>55</v>
      </c>
      <c r="B305" t="s">
        <v>56</v>
      </c>
      <c r="C305" t="s">
        <v>51</v>
      </c>
      <c r="D305" s="13">
        <v>45408</v>
      </c>
      <c r="E305" t="s">
        <v>205</v>
      </c>
      <c r="F305">
        <v>87897.23</v>
      </c>
      <c r="G305">
        <v>96118.56</v>
      </c>
      <c r="H305">
        <v>18243.57</v>
      </c>
      <c r="I305">
        <v>3416.63</v>
      </c>
      <c r="J305">
        <v>1</v>
      </c>
      <c r="K305">
        <v>1</v>
      </c>
      <c r="L305" t="s">
        <v>30</v>
      </c>
      <c r="M305" t="s">
        <v>611</v>
      </c>
      <c r="N305" t="s">
        <v>613</v>
      </c>
    </row>
    <row r="306" spans="1:14" x14ac:dyDescent="0.25">
      <c r="A306" t="s">
        <v>62</v>
      </c>
      <c r="B306" t="s">
        <v>63</v>
      </c>
      <c r="C306" t="s">
        <v>51</v>
      </c>
      <c r="D306" s="13">
        <v>45408</v>
      </c>
      <c r="E306" t="s">
        <v>205</v>
      </c>
      <c r="F306">
        <v>37832.26</v>
      </c>
      <c r="G306">
        <v>34112.400000000001</v>
      </c>
      <c r="H306">
        <v>180144.22</v>
      </c>
      <c r="I306">
        <v>35405.49</v>
      </c>
      <c r="J306">
        <v>5</v>
      </c>
      <c r="K306">
        <v>1</v>
      </c>
      <c r="L306" t="s">
        <v>30</v>
      </c>
      <c r="M306" t="s">
        <v>611</v>
      </c>
      <c r="N306" t="s">
        <v>612</v>
      </c>
    </row>
    <row r="307" spans="1:14" x14ac:dyDescent="0.25">
      <c r="A307" t="s">
        <v>66</v>
      </c>
      <c r="B307" t="s">
        <v>67</v>
      </c>
      <c r="C307" t="s">
        <v>51</v>
      </c>
      <c r="D307" s="13">
        <v>45408</v>
      </c>
      <c r="E307" t="s">
        <v>205</v>
      </c>
      <c r="F307">
        <v>88551.2</v>
      </c>
      <c r="G307">
        <v>90569.29</v>
      </c>
      <c r="H307">
        <v>292570.90999999997</v>
      </c>
      <c r="I307">
        <v>63268.29</v>
      </c>
      <c r="J307">
        <v>1</v>
      </c>
      <c r="K307">
        <v>3</v>
      </c>
      <c r="L307" t="s">
        <v>30</v>
      </c>
      <c r="M307" t="s">
        <v>611</v>
      </c>
      <c r="N307" t="s">
        <v>612</v>
      </c>
    </row>
    <row r="308" spans="1:14" x14ac:dyDescent="0.25">
      <c r="A308" t="s">
        <v>74</v>
      </c>
      <c r="B308" t="s">
        <v>75</v>
      </c>
      <c r="C308" t="s">
        <v>51</v>
      </c>
      <c r="D308" s="13">
        <v>45408</v>
      </c>
      <c r="E308" t="s">
        <v>205</v>
      </c>
      <c r="F308">
        <v>80842</v>
      </c>
      <c r="G308">
        <v>83569</v>
      </c>
      <c r="H308">
        <v>205263.97</v>
      </c>
      <c r="I308">
        <v>37169.08</v>
      </c>
      <c r="J308">
        <v>2</v>
      </c>
      <c r="K308">
        <v>3</v>
      </c>
      <c r="L308" t="s">
        <v>112</v>
      </c>
      <c r="M308" t="s">
        <v>31</v>
      </c>
      <c r="N308" t="s">
        <v>612</v>
      </c>
    </row>
    <row r="309" spans="1:14" x14ac:dyDescent="0.25">
      <c r="A309" t="s">
        <v>78</v>
      </c>
      <c r="B309" t="s">
        <v>79</v>
      </c>
      <c r="C309" t="s">
        <v>137</v>
      </c>
      <c r="D309" s="13">
        <v>45408</v>
      </c>
      <c r="E309" t="s">
        <v>205</v>
      </c>
      <c r="F309">
        <v>19124.849999999999</v>
      </c>
      <c r="G309">
        <v>23314.04</v>
      </c>
      <c r="H309">
        <v>80882.490000000005</v>
      </c>
      <c r="I309">
        <v>24420.35</v>
      </c>
      <c r="J309">
        <v>11</v>
      </c>
      <c r="K309">
        <v>11</v>
      </c>
      <c r="L309" t="s">
        <v>112</v>
      </c>
      <c r="M309" t="s">
        <v>611</v>
      </c>
      <c r="N309" t="s">
        <v>612</v>
      </c>
    </row>
    <row r="310" spans="1:14" x14ac:dyDescent="0.25">
      <c r="A310" t="s">
        <v>82</v>
      </c>
      <c r="B310" t="s">
        <v>83</v>
      </c>
      <c r="C310" t="s">
        <v>137</v>
      </c>
      <c r="D310" s="13">
        <v>45408</v>
      </c>
      <c r="E310" t="s">
        <v>205</v>
      </c>
      <c r="F310">
        <v>46644.24</v>
      </c>
      <c r="G310">
        <v>25339.37</v>
      </c>
      <c r="H310">
        <v>148844.87</v>
      </c>
      <c r="I310">
        <v>46949.279999999999</v>
      </c>
      <c r="J310">
        <v>12</v>
      </c>
      <c r="K310">
        <v>5</v>
      </c>
      <c r="L310" t="s">
        <v>30</v>
      </c>
      <c r="M310" t="s">
        <v>611</v>
      </c>
      <c r="N310" t="s">
        <v>612</v>
      </c>
    </row>
    <row r="311" spans="1:14" x14ac:dyDescent="0.25">
      <c r="A311" t="s">
        <v>84</v>
      </c>
      <c r="B311" t="s">
        <v>85</v>
      </c>
      <c r="C311" t="s">
        <v>137</v>
      </c>
      <c r="D311" s="13">
        <v>45408</v>
      </c>
      <c r="E311" t="s">
        <v>205</v>
      </c>
      <c r="F311">
        <v>32032.15</v>
      </c>
      <c r="G311">
        <v>31281.759999999998</v>
      </c>
      <c r="H311">
        <v>139373.23000000001</v>
      </c>
      <c r="I311">
        <v>29254.57</v>
      </c>
      <c r="J311">
        <v>2</v>
      </c>
      <c r="K311">
        <v>3</v>
      </c>
      <c r="L311" t="s">
        <v>30</v>
      </c>
      <c r="M311" t="s">
        <v>127</v>
      </c>
      <c r="N311" t="s">
        <v>612</v>
      </c>
    </row>
    <row r="312" spans="1:14" x14ac:dyDescent="0.25">
      <c r="A312" t="s">
        <v>87</v>
      </c>
      <c r="B312" t="s">
        <v>88</v>
      </c>
      <c r="C312" t="s">
        <v>137</v>
      </c>
      <c r="D312" s="13">
        <v>45408</v>
      </c>
      <c r="E312" t="s">
        <v>205</v>
      </c>
      <c r="F312">
        <v>10647.73</v>
      </c>
      <c r="G312">
        <v>11913.47</v>
      </c>
      <c r="H312">
        <v>31942.02</v>
      </c>
      <c r="I312">
        <v>6148.84</v>
      </c>
      <c r="J312">
        <v>11</v>
      </c>
      <c r="K312">
        <v>15</v>
      </c>
      <c r="L312" t="s">
        <v>30</v>
      </c>
      <c r="M312" t="s">
        <v>31</v>
      </c>
      <c r="N312" t="s">
        <v>612</v>
      </c>
    </row>
    <row r="313" spans="1:14" x14ac:dyDescent="0.25">
      <c r="A313" t="s">
        <v>90</v>
      </c>
      <c r="B313" t="s">
        <v>91</v>
      </c>
      <c r="C313" t="s">
        <v>137</v>
      </c>
      <c r="D313" s="13">
        <v>45408</v>
      </c>
      <c r="E313" t="s">
        <v>205</v>
      </c>
      <c r="F313">
        <v>11434.72</v>
      </c>
      <c r="G313">
        <v>12533.65</v>
      </c>
      <c r="H313">
        <v>36608.370000000003</v>
      </c>
      <c r="I313">
        <v>9486.7199999999993</v>
      </c>
      <c r="J313">
        <v>8</v>
      </c>
      <c r="K313">
        <v>2</v>
      </c>
      <c r="L313" t="s">
        <v>30</v>
      </c>
      <c r="M313" t="s">
        <v>105</v>
      </c>
      <c r="N313" t="s">
        <v>612</v>
      </c>
    </row>
    <row r="314" spans="1:14" x14ac:dyDescent="0.25">
      <c r="A314" t="s">
        <v>93</v>
      </c>
      <c r="B314" t="s">
        <v>94</v>
      </c>
      <c r="C314" t="s">
        <v>137</v>
      </c>
      <c r="D314" s="13">
        <v>45408</v>
      </c>
      <c r="E314" t="s">
        <v>205</v>
      </c>
      <c r="F314">
        <v>43580.11</v>
      </c>
      <c r="G314">
        <v>22634.6</v>
      </c>
      <c r="H314">
        <v>5910.42</v>
      </c>
      <c r="I314">
        <v>1940.64</v>
      </c>
      <c r="J314">
        <v>5</v>
      </c>
      <c r="K314">
        <v>15</v>
      </c>
      <c r="L314" t="s">
        <v>30</v>
      </c>
      <c r="M314" t="s">
        <v>115</v>
      </c>
      <c r="N314" t="s">
        <v>613</v>
      </c>
    </row>
    <row r="315" spans="1:14" x14ac:dyDescent="0.25">
      <c r="A315" t="s">
        <v>96</v>
      </c>
      <c r="B315" t="s">
        <v>97</v>
      </c>
      <c r="C315" t="s">
        <v>137</v>
      </c>
      <c r="D315" s="13">
        <v>45408</v>
      </c>
      <c r="E315" t="s">
        <v>205</v>
      </c>
      <c r="F315">
        <v>18646.64</v>
      </c>
      <c r="G315">
        <v>21534.23</v>
      </c>
      <c r="H315">
        <v>84902</v>
      </c>
      <c r="I315">
        <v>18753.84</v>
      </c>
      <c r="J315">
        <v>10</v>
      </c>
      <c r="K315">
        <v>13</v>
      </c>
      <c r="L315" t="s">
        <v>30</v>
      </c>
      <c r="M315" t="s">
        <v>611</v>
      </c>
      <c r="N315" t="s">
        <v>612</v>
      </c>
    </row>
    <row r="316" spans="1:14" x14ac:dyDescent="0.25">
      <c r="A316" t="s">
        <v>14</v>
      </c>
      <c r="B316" t="s">
        <v>15</v>
      </c>
      <c r="C316" t="s">
        <v>16</v>
      </c>
      <c r="D316" s="13">
        <v>45415</v>
      </c>
      <c r="E316" t="s">
        <v>205</v>
      </c>
      <c r="F316">
        <v>184620.14</v>
      </c>
      <c r="G316">
        <v>170571.68</v>
      </c>
      <c r="H316">
        <v>675599.23</v>
      </c>
      <c r="I316">
        <v>202364.22</v>
      </c>
      <c r="J316">
        <v>2</v>
      </c>
      <c r="K316">
        <v>8</v>
      </c>
      <c r="L316" t="s">
        <v>30</v>
      </c>
      <c r="M316" t="s">
        <v>73</v>
      </c>
      <c r="N316" t="s">
        <v>612</v>
      </c>
    </row>
    <row r="317" spans="1:14" x14ac:dyDescent="0.25">
      <c r="A317" t="s">
        <v>21</v>
      </c>
      <c r="B317" t="s">
        <v>22</v>
      </c>
      <c r="C317" t="s">
        <v>16</v>
      </c>
      <c r="D317" s="13">
        <v>45415</v>
      </c>
      <c r="E317" t="s">
        <v>205</v>
      </c>
      <c r="F317">
        <v>87828.12</v>
      </c>
      <c r="G317">
        <v>155359.54</v>
      </c>
      <c r="H317">
        <v>355803.86</v>
      </c>
      <c r="I317">
        <v>120432.97</v>
      </c>
      <c r="J317">
        <v>5</v>
      </c>
      <c r="K317">
        <v>2</v>
      </c>
      <c r="L317" t="s">
        <v>112</v>
      </c>
      <c r="M317" t="s">
        <v>26</v>
      </c>
      <c r="N317" t="s">
        <v>612</v>
      </c>
    </row>
    <row r="318" spans="1:14" x14ac:dyDescent="0.25">
      <c r="A318" t="s">
        <v>27</v>
      </c>
      <c r="B318" t="s">
        <v>28</v>
      </c>
      <c r="C318" t="s">
        <v>16</v>
      </c>
      <c r="D318" s="13">
        <v>45415</v>
      </c>
      <c r="E318" t="s">
        <v>205</v>
      </c>
      <c r="F318">
        <v>188300.57</v>
      </c>
      <c r="G318">
        <v>177406.43</v>
      </c>
      <c r="H318">
        <v>583088.11</v>
      </c>
      <c r="I318">
        <v>152386.51999999999</v>
      </c>
      <c r="J318">
        <v>5</v>
      </c>
      <c r="K318">
        <v>6</v>
      </c>
      <c r="L318" t="s">
        <v>30</v>
      </c>
      <c r="M318" t="s">
        <v>611</v>
      </c>
      <c r="N318" t="s">
        <v>612</v>
      </c>
    </row>
    <row r="319" spans="1:14" x14ac:dyDescent="0.25">
      <c r="A319" t="s">
        <v>32</v>
      </c>
      <c r="B319" t="s">
        <v>33</v>
      </c>
      <c r="C319" t="s">
        <v>16</v>
      </c>
      <c r="D319" s="13">
        <v>45415</v>
      </c>
      <c r="E319" t="s">
        <v>205</v>
      </c>
      <c r="F319">
        <v>150203.01</v>
      </c>
      <c r="G319">
        <v>158123.15</v>
      </c>
      <c r="H319">
        <v>642052.28</v>
      </c>
      <c r="I319">
        <v>173729.99</v>
      </c>
      <c r="J319">
        <v>3</v>
      </c>
      <c r="K319">
        <v>8</v>
      </c>
      <c r="L319" t="s">
        <v>30</v>
      </c>
      <c r="M319" t="s">
        <v>127</v>
      </c>
      <c r="N319" t="s">
        <v>612</v>
      </c>
    </row>
    <row r="320" spans="1:14" x14ac:dyDescent="0.25">
      <c r="A320" t="s">
        <v>39</v>
      </c>
      <c r="B320" t="s">
        <v>40</v>
      </c>
      <c r="C320" t="s">
        <v>16</v>
      </c>
      <c r="D320" s="13">
        <v>45415</v>
      </c>
      <c r="E320" t="s">
        <v>205</v>
      </c>
      <c r="F320">
        <v>95683.44</v>
      </c>
      <c r="G320">
        <v>90293.85</v>
      </c>
      <c r="H320">
        <v>448514.49</v>
      </c>
      <c r="I320">
        <v>128560.83</v>
      </c>
      <c r="J320">
        <v>3</v>
      </c>
      <c r="K320">
        <v>3</v>
      </c>
      <c r="L320" t="s">
        <v>30</v>
      </c>
      <c r="M320" t="s">
        <v>105</v>
      </c>
      <c r="N320" t="s">
        <v>612</v>
      </c>
    </row>
    <row r="321" spans="1:14" x14ac:dyDescent="0.25">
      <c r="A321" t="s">
        <v>44</v>
      </c>
      <c r="B321" t="s">
        <v>45</v>
      </c>
      <c r="C321" t="s">
        <v>16</v>
      </c>
      <c r="D321" s="13">
        <v>45415</v>
      </c>
      <c r="E321" t="s">
        <v>205</v>
      </c>
      <c r="F321">
        <v>152746.87</v>
      </c>
      <c r="G321">
        <v>148735.79</v>
      </c>
      <c r="H321">
        <v>632280.57999999996</v>
      </c>
      <c r="I321">
        <v>166065.47</v>
      </c>
      <c r="J321">
        <v>6</v>
      </c>
      <c r="K321">
        <v>6</v>
      </c>
      <c r="L321" t="s">
        <v>30</v>
      </c>
      <c r="M321" t="s">
        <v>611</v>
      </c>
      <c r="N321" t="s">
        <v>612</v>
      </c>
    </row>
    <row r="322" spans="1:14" x14ac:dyDescent="0.25">
      <c r="A322" t="s">
        <v>49</v>
      </c>
      <c r="B322" t="s">
        <v>50</v>
      </c>
      <c r="C322" t="s">
        <v>51</v>
      </c>
      <c r="D322" s="13">
        <v>45415</v>
      </c>
      <c r="E322" t="s">
        <v>205</v>
      </c>
      <c r="F322">
        <v>58257.74</v>
      </c>
      <c r="G322">
        <v>96632.19</v>
      </c>
      <c r="H322">
        <v>235744.33</v>
      </c>
      <c r="I322">
        <v>63887.62</v>
      </c>
      <c r="J322">
        <v>2</v>
      </c>
      <c r="K322">
        <v>3</v>
      </c>
      <c r="L322" t="s">
        <v>112</v>
      </c>
      <c r="M322" t="s">
        <v>125</v>
      </c>
      <c r="N322" t="s">
        <v>612</v>
      </c>
    </row>
    <row r="323" spans="1:14" x14ac:dyDescent="0.25">
      <c r="A323" t="s">
        <v>55</v>
      </c>
      <c r="B323" t="s">
        <v>56</v>
      </c>
      <c r="C323" t="s">
        <v>51</v>
      </c>
      <c r="D323" s="13">
        <v>45415</v>
      </c>
      <c r="E323" t="s">
        <v>205</v>
      </c>
      <c r="F323">
        <v>72428.06</v>
      </c>
      <c r="G323">
        <v>76025.27</v>
      </c>
      <c r="H323">
        <v>207858.44</v>
      </c>
      <c r="I323">
        <v>71883.509999999995</v>
      </c>
      <c r="J323">
        <v>5</v>
      </c>
      <c r="K323">
        <v>6</v>
      </c>
      <c r="L323" t="s">
        <v>30</v>
      </c>
      <c r="M323" t="s">
        <v>611</v>
      </c>
      <c r="N323" t="s">
        <v>612</v>
      </c>
    </row>
    <row r="324" spans="1:14" x14ac:dyDescent="0.25">
      <c r="A324" t="s">
        <v>59</v>
      </c>
      <c r="B324" t="s">
        <v>60</v>
      </c>
      <c r="C324" t="s">
        <v>51</v>
      </c>
      <c r="D324" s="13">
        <v>45415</v>
      </c>
      <c r="E324" t="s">
        <v>205</v>
      </c>
      <c r="F324">
        <v>666831</v>
      </c>
      <c r="G324">
        <v>35706.550000000003</v>
      </c>
      <c r="H324">
        <v>299996.96999999997</v>
      </c>
      <c r="I324">
        <v>101035.88</v>
      </c>
      <c r="J324">
        <v>3</v>
      </c>
      <c r="K324">
        <v>3</v>
      </c>
      <c r="L324" t="s">
        <v>30</v>
      </c>
      <c r="M324" t="s">
        <v>611</v>
      </c>
      <c r="N324" t="s">
        <v>612</v>
      </c>
    </row>
    <row r="325" spans="1:14" x14ac:dyDescent="0.25">
      <c r="A325" t="s">
        <v>62</v>
      </c>
      <c r="B325" t="s">
        <v>63</v>
      </c>
      <c r="C325" t="s">
        <v>51</v>
      </c>
      <c r="D325" s="13">
        <v>45415</v>
      </c>
      <c r="E325" t="s">
        <v>205</v>
      </c>
      <c r="F325">
        <v>65005.89</v>
      </c>
      <c r="G325">
        <v>59587.199999999997</v>
      </c>
      <c r="H325">
        <v>194321.39</v>
      </c>
      <c r="I325">
        <v>63039.17</v>
      </c>
      <c r="J325">
        <v>6</v>
      </c>
      <c r="K325">
        <v>5</v>
      </c>
      <c r="L325" t="s">
        <v>30</v>
      </c>
      <c r="M325" t="s">
        <v>611</v>
      </c>
      <c r="N325" t="s">
        <v>612</v>
      </c>
    </row>
    <row r="326" spans="1:14" x14ac:dyDescent="0.25">
      <c r="A326" t="s">
        <v>68</v>
      </c>
      <c r="B326" t="s">
        <v>69</v>
      </c>
      <c r="C326" t="s">
        <v>51</v>
      </c>
      <c r="D326" s="13">
        <v>45415</v>
      </c>
      <c r="E326" t="s">
        <v>205</v>
      </c>
      <c r="F326">
        <v>52177.8</v>
      </c>
      <c r="G326">
        <v>50187.18</v>
      </c>
      <c r="H326">
        <v>175437.44</v>
      </c>
      <c r="I326">
        <v>44867.76</v>
      </c>
      <c r="J326">
        <v>5</v>
      </c>
      <c r="K326">
        <v>5</v>
      </c>
      <c r="L326" t="s">
        <v>30</v>
      </c>
      <c r="M326" t="s">
        <v>43</v>
      </c>
      <c r="N326" t="s">
        <v>612</v>
      </c>
    </row>
    <row r="327" spans="1:14" x14ac:dyDescent="0.25">
      <c r="A327" t="s">
        <v>74</v>
      </c>
      <c r="B327" t="s">
        <v>75</v>
      </c>
      <c r="C327" t="s">
        <v>51</v>
      </c>
      <c r="D327" s="13">
        <v>45415</v>
      </c>
      <c r="E327" t="s">
        <v>205</v>
      </c>
      <c r="F327">
        <v>65876.14</v>
      </c>
      <c r="G327">
        <v>58833.440000000002</v>
      </c>
      <c r="H327">
        <v>242854.56</v>
      </c>
      <c r="I327">
        <v>84447.46</v>
      </c>
      <c r="J327">
        <v>1</v>
      </c>
      <c r="K327">
        <v>5</v>
      </c>
      <c r="L327" t="s">
        <v>112</v>
      </c>
      <c r="M327" t="s">
        <v>43</v>
      </c>
      <c r="N327" t="s">
        <v>612</v>
      </c>
    </row>
    <row r="328" spans="1:14" x14ac:dyDescent="0.25">
      <c r="A328" t="s">
        <v>78</v>
      </c>
      <c r="B328" t="s">
        <v>79</v>
      </c>
      <c r="C328" t="s">
        <v>137</v>
      </c>
      <c r="D328" s="13">
        <v>45415</v>
      </c>
      <c r="E328" t="s">
        <v>205</v>
      </c>
      <c r="F328">
        <v>30471.66</v>
      </c>
      <c r="G328">
        <v>27263.96</v>
      </c>
      <c r="H328">
        <v>79396.42</v>
      </c>
      <c r="I328">
        <v>25556.080000000002</v>
      </c>
      <c r="J328">
        <v>6</v>
      </c>
      <c r="K328">
        <v>9</v>
      </c>
      <c r="L328" t="s">
        <v>30</v>
      </c>
      <c r="M328" t="s">
        <v>73</v>
      </c>
      <c r="N328" t="s">
        <v>612</v>
      </c>
    </row>
    <row r="329" spans="1:14" x14ac:dyDescent="0.25">
      <c r="A329" t="s">
        <v>82</v>
      </c>
      <c r="B329" t="s">
        <v>83</v>
      </c>
      <c r="C329" t="s">
        <v>137</v>
      </c>
      <c r="D329" s="13">
        <v>45415</v>
      </c>
      <c r="E329" t="s">
        <v>205</v>
      </c>
      <c r="F329">
        <v>28186.07</v>
      </c>
      <c r="G329">
        <v>14162.81</v>
      </c>
      <c r="H329">
        <v>105208.04</v>
      </c>
      <c r="I329">
        <v>29648.84</v>
      </c>
      <c r="J329">
        <v>7</v>
      </c>
      <c r="K329">
        <v>6</v>
      </c>
      <c r="L329" t="s">
        <v>30</v>
      </c>
      <c r="M329" t="s">
        <v>113</v>
      </c>
      <c r="N329" t="s">
        <v>612</v>
      </c>
    </row>
    <row r="330" spans="1:14" x14ac:dyDescent="0.25">
      <c r="A330" t="s">
        <v>84</v>
      </c>
      <c r="B330" t="s">
        <v>85</v>
      </c>
      <c r="C330" t="s">
        <v>137</v>
      </c>
      <c r="D330" s="13">
        <v>45415</v>
      </c>
      <c r="E330" t="s">
        <v>205</v>
      </c>
      <c r="F330">
        <v>12396.88</v>
      </c>
      <c r="G330">
        <v>9660.33</v>
      </c>
      <c r="H330">
        <v>45280.95</v>
      </c>
      <c r="I330">
        <v>10901.64</v>
      </c>
      <c r="J330">
        <v>2</v>
      </c>
      <c r="K330">
        <v>7</v>
      </c>
      <c r="L330" t="s">
        <v>30</v>
      </c>
      <c r="M330" t="s">
        <v>125</v>
      </c>
      <c r="N330" t="s">
        <v>612</v>
      </c>
    </row>
    <row r="331" spans="1:14" x14ac:dyDescent="0.25">
      <c r="A331" t="s">
        <v>87</v>
      </c>
      <c r="B331" t="s">
        <v>88</v>
      </c>
      <c r="C331" t="s">
        <v>137</v>
      </c>
      <c r="D331" s="13">
        <v>45415</v>
      </c>
      <c r="E331" t="s">
        <v>205</v>
      </c>
      <c r="F331">
        <v>24166.59</v>
      </c>
      <c r="G331">
        <v>20144.490000000002</v>
      </c>
      <c r="H331">
        <v>113126.39999999999</v>
      </c>
      <c r="I331">
        <v>33535.69</v>
      </c>
      <c r="J331">
        <v>6</v>
      </c>
      <c r="K331">
        <v>7</v>
      </c>
      <c r="L331" t="s">
        <v>30</v>
      </c>
      <c r="M331" t="s">
        <v>127</v>
      </c>
      <c r="N331" t="s">
        <v>612</v>
      </c>
    </row>
    <row r="332" spans="1:14" x14ac:dyDescent="0.25">
      <c r="A332" t="s">
        <v>90</v>
      </c>
      <c r="B332" t="s">
        <v>91</v>
      </c>
      <c r="C332" t="s">
        <v>137</v>
      </c>
      <c r="D332" s="13">
        <v>45415</v>
      </c>
      <c r="E332" t="s">
        <v>205</v>
      </c>
      <c r="F332">
        <v>21591.34</v>
      </c>
      <c r="G332">
        <v>25170.9</v>
      </c>
      <c r="H332">
        <v>1042399</v>
      </c>
      <c r="I332">
        <v>32905.29</v>
      </c>
      <c r="J332">
        <v>10</v>
      </c>
      <c r="K332">
        <v>14</v>
      </c>
      <c r="L332" t="s">
        <v>30</v>
      </c>
      <c r="M332" t="s">
        <v>611</v>
      </c>
      <c r="N332" t="s">
        <v>612</v>
      </c>
    </row>
    <row r="333" spans="1:14" x14ac:dyDescent="0.25">
      <c r="A333" t="s">
        <v>93</v>
      </c>
      <c r="B333" t="s">
        <v>94</v>
      </c>
      <c r="C333" t="s">
        <v>137</v>
      </c>
      <c r="D333" s="13">
        <v>45415</v>
      </c>
      <c r="E333" t="s">
        <v>205</v>
      </c>
      <c r="F333">
        <v>26954.720000000001</v>
      </c>
      <c r="G333">
        <v>15469.77</v>
      </c>
      <c r="H333">
        <v>5739.06</v>
      </c>
      <c r="I333">
        <v>1249.97</v>
      </c>
      <c r="J333">
        <v>4</v>
      </c>
      <c r="K333">
        <v>4</v>
      </c>
      <c r="L333" t="s">
        <v>30</v>
      </c>
      <c r="M333" t="s">
        <v>611</v>
      </c>
      <c r="N333" t="s">
        <v>613</v>
      </c>
    </row>
    <row r="334" spans="1:14" x14ac:dyDescent="0.25">
      <c r="A334" t="s">
        <v>96</v>
      </c>
      <c r="B334" t="s">
        <v>97</v>
      </c>
      <c r="C334" t="s">
        <v>137</v>
      </c>
      <c r="D334" s="13">
        <v>45415</v>
      </c>
      <c r="E334" t="s">
        <v>205</v>
      </c>
      <c r="F334">
        <v>9147.9599999999991</v>
      </c>
      <c r="G334">
        <v>7354.12</v>
      </c>
      <c r="H334">
        <v>37959.19</v>
      </c>
      <c r="I334">
        <v>9859.67</v>
      </c>
      <c r="J334">
        <v>6</v>
      </c>
      <c r="K334">
        <v>14</v>
      </c>
      <c r="L334" t="s">
        <v>30</v>
      </c>
      <c r="M334" t="s">
        <v>113</v>
      </c>
      <c r="N334" t="s">
        <v>612</v>
      </c>
    </row>
    <row r="335" spans="1:14" x14ac:dyDescent="0.25">
      <c r="A335" t="s">
        <v>14</v>
      </c>
      <c r="B335" t="s">
        <v>15</v>
      </c>
      <c r="C335" t="s">
        <v>16</v>
      </c>
      <c r="D335" s="13">
        <v>45422</v>
      </c>
      <c r="E335" t="s">
        <v>205</v>
      </c>
      <c r="F335">
        <v>198420.61</v>
      </c>
      <c r="G335">
        <v>212448</v>
      </c>
      <c r="H335">
        <v>670762.51</v>
      </c>
      <c r="I335">
        <v>209771.83</v>
      </c>
      <c r="J335">
        <v>5</v>
      </c>
      <c r="K335">
        <v>6</v>
      </c>
      <c r="L335" t="s">
        <v>30</v>
      </c>
      <c r="M335" t="s">
        <v>611</v>
      </c>
      <c r="N335" t="s">
        <v>612</v>
      </c>
    </row>
    <row r="336" spans="1:14" x14ac:dyDescent="0.25">
      <c r="A336" t="s">
        <v>27</v>
      </c>
      <c r="B336" t="s">
        <v>28</v>
      </c>
      <c r="C336" t="s">
        <v>16</v>
      </c>
      <c r="D336" s="13">
        <v>45422</v>
      </c>
      <c r="E336" t="s">
        <v>205</v>
      </c>
      <c r="F336">
        <v>209392.49</v>
      </c>
      <c r="G336">
        <v>223479.66</v>
      </c>
      <c r="H336">
        <v>715317.75</v>
      </c>
      <c r="I336">
        <v>182222.33</v>
      </c>
      <c r="J336">
        <v>1</v>
      </c>
      <c r="K336">
        <v>8</v>
      </c>
      <c r="L336" t="s">
        <v>30</v>
      </c>
      <c r="M336" t="s">
        <v>611</v>
      </c>
      <c r="N336" t="s">
        <v>612</v>
      </c>
    </row>
    <row r="337" spans="1:14" x14ac:dyDescent="0.25">
      <c r="A337" t="s">
        <v>32</v>
      </c>
      <c r="B337" t="s">
        <v>33</v>
      </c>
      <c r="C337" t="s">
        <v>16</v>
      </c>
      <c r="D337" s="13">
        <v>45422</v>
      </c>
      <c r="E337" t="s">
        <v>205</v>
      </c>
      <c r="F337">
        <v>186718.32</v>
      </c>
      <c r="G337">
        <v>192834.64</v>
      </c>
      <c r="H337">
        <v>505188.78</v>
      </c>
      <c r="I337">
        <v>123979.79</v>
      </c>
      <c r="J337">
        <v>4</v>
      </c>
      <c r="K337">
        <v>1</v>
      </c>
      <c r="L337" t="s">
        <v>30</v>
      </c>
      <c r="M337" t="s">
        <v>611</v>
      </c>
      <c r="N337" t="s">
        <v>612</v>
      </c>
    </row>
    <row r="338" spans="1:14" x14ac:dyDescent="0.25">
      <c r="A338" t="s">
        <v>39</v>
      </c>
      <c r="B338" t="s">
        <v>40</v>
      </c>
      <c r="C338" t="s">
        <v>16</v>
      </c>
      <c r="D338" s="13">
        <v>45422</v>
      </c>
      <c r="E338" t="s">
        <v>205</v>
      </c>
      <c r="F338">
        <v>131441.79999999999</v>
      </c>
      <c r="G338">
        <v>121195.35</v>
      </c>
      <c r="H338">
        <v>549458.07999999996</v>
      </c>
      <c r="I338">
        <v>147723.24</v>
      </c>
      <c r="J338">
        <v>6</v>
      </c>
      <c r="K338">
        <v>8</v>
      </c>
      <c r="L338" t="s">
        <v>30</v>
      </c>
      <c r="M338" t="s">
        <v>101</v>
      </c>
      <c r="N338" t="s">
        <v>612</v>
      </c>
    </row>
    <row r="339" spans="1:14" x14ac:dyDescent="0.25">
      <c r="A339" t="s">
        <v>44</v>
      </c>
      <c r="B339" t="s">
        <v>45</v>
      </c>
      <c r="C339" t="s">
        <v>16</v>
      </c>
      <c r="D339" s="13">
        <v>45422</v>
      </c>
      <c r="E339" t="s">
        <v>205</v>
      </c>
      <c r="F339">
        <v>163294.51999999999</v>
      </c>
      <c r="G339">
        <v>176114.08</v>
      </c>
      <c r="H339">
        <v>503302.13</v>
      </c>
      <c r="I339">
        <v>133298.92000000001</v>
      </c>
      <c r="J339">
        <v>6</v>
      </c>
      <c r="K339">
        <v>2</v>
      </c>
      <c r="L339" t="s">
        <v>30</v>
      </c>
      <c r="M339" t="s">
        <v>611</v>
      </c>
      <c r="N339" t="s">
        <v>612</v>
      </c>
    </row>
    <row r="340" spans="1:14" x14ac:dyDescent="0.25">
      <c r="A340" t="s">
        <v>49</v>
      </c>
      <c r="B340" t="s">
        <v>50</v>
      </c>
      <c r="C340" t="s">
        <v>51</v>
      </c>
      <c r="D340" s="13">
        <v>45422</v>
      </c>
      <c r="E340" t="s">
        <v>205</v>
      </c>
      <c r="F340">
        <v>33202.839999999997</v>
      </c>
      <c r="G340">
        <v>54959.11</v>
      </c>
      <c r="H340">
        <v>144249.60999999999</v>
      </c>
      <c r="I340">
        <v>38180.410000000003</v>
      </c>
      <c r="J340">
        <v>1</v>
      </c>
      <c r="K340">
        <v>2</v>
      </c>
      <c r="L340" t="s">
        <v>112</v>
      </c>
      <c r="M340" t="s">
        <v>611</v>
      </c>
      <c r="N340" t="s">
        <v>612</v>
      </c>
    </row>
    <row r="341" spans="1:14" x14ac:dyDescent="0.25">
      <c r="A341" t="s">
        <v>55</v>
      </c>
      <c r="B341" t="s">
        <v>56</v>
      </c>
      <c r="C341" t="s">
        <v>51</v>
      </c>
      <c r="D341" s="13">
        <v>45422</v>
      </c>
      <c r="E341" t="s">
        <v>205</v>
      </c>
      <c r="F341">
        <v>42115.91</v>
      </c>
      <c r="G341">
        <v>44163.92</v>
      </c>
      <c r="H341">
        <v>158439.48000000001</v>
      </c>
      <c r="I341">
        <v>50322.26</v>
      </c>
      <c r="J341">
        <v>5</v>
      </c>
      <c r="K341">
        <v>8</v>
      </c>
      <c r="L341" t="s">
        <v>30</v>
      </c>
      <c r="M341" t="s">
        <v>73</v>
      </c>
      <c r="N341" t="s">
        <v>612</v>
      </c>
    </row>
    <row r="342" spans="1:14" x14ac:dyDescent="0.25">
      <c r="A342" t="s">
        <v>59</v>
      </c>
      <c r="B342" t="s">
        <v>60</v>
      </c>
      <c r="C342" t="s">
        <v>51</v>
      </c>
      <c r="D342" s="13">
        <v>45422</v>
      </c>
      <c r="E342" t="s">
        <v>205</v>
      </c>
      <c r="F342">
        <v>53048.36</v>
      </c>
      <c r="G342">
        <v>27917.19</v>
      </c>
      <c r="H342">
        <v>208062.99</v>
      </c>
      <c r="I342">
        <v>57039.07</v>
      </c>
      <c r="J342">
        <v>5</v>
      </c>
      <c r="K342">
        <v>2</v>
      </c>
      <c r="L342" t="s">
        <v>30</v>
      </c>
      <c r="M342" t="s">
        <v>73</v>
      </c>
      <c r="N342" t="s">
        <v>612</v>
      </c>
    </row>
    <row r="343" spans="1:14" x14ac:dyDescent="0.25">
      <c r="A343" t="s">
        <v>62</v>
      </c>
      <c r="B343" t="s">
        <v>63</v>
      </c>
      <c r="C343" t="s">
        <v>51</v>
      </c>
      <c r="D343" s="13">
        <v>45422</v>
      </c>
      <c r="E343" t="s">
        <v>205</v>
      </c>
      <c r="F343">
        <v>31688.82</v>
      </c>
      <c r="G343">
        <v>27364.42</v>
      </c>
      <c r="H343">
        <v>106860.78</v>
      </c>
      <c r="I343">
        <v>19723.61</v>
      </c>
      <c r="J343">
        <v>6</v>
      </c>
      <c r="K343">
        <v>6</v>
      </c>
      <c r="L343" t="s">
        <v>30</v>
      </c>
      <c r="M343" t="s">
        <v>26</v>
      </c>
      <c r="N343" t="s">
        <v>612</v>
      </c>
    </row>
    <row r="344" spans="1:14" x14ac:dyDescent="0.25">
      <c r="A344" t="s">
        <v>66</v>
      </c>
      <c r="B344" t="s">
        <v>67</v>
      </c>
      <c r="C344" t="s">
        <v>51</v>
      </c>
      <c r="D344" s="13">
        <v>45422</v>
      </c>
      <c r="E344" t="s">
        <v>205</v>
      </c>
      <c r="F344">
        <v>33930.01</v>
      </c>
      <c r="G344">
        <v>31944.22</v>
      </c>
      <c r="H344">
        <v>99226.57</v>
      </c>
      <c r="I344">
        <v>18491.29</v>
      </c>
      <c r="J344">
        <v>6</v>
      </c>
      <c r="K344">
        <v>6</v>
      </c>
      <c r="L344" t="s">
        <v>30</v>
      </c>
      <c r="M344" t="s">
        <v>611</v>
      </c>
      <c r="N344" t="s">
        <v>612</v>
      </c>
    </row>
    <row r="345" spans="1:14" x14ac:dyDescent="0.25">
      <c r="A345" t="s">
        <v>68</v>
      </c>
      <c r="B345" t="s">
        <v>69</v>
      </c>
      <c r="C345" t="s">
        <v>51</v>
      </c>
      <c r="D345" s="13">
        <v>45422</v>
      </c>
      <c r="E345" t="s">
        <v>205</v>
      </c>
      <c r="F345">
        <v>78499.59</v>
      </c>
      <c r="G345">
        <v>69080.98</v>
      </c>
      <c r="H345">
        <v>262182.26</v>
      </c>
      <c r="I345">
        <v>81285.33</v>
      </c>
      <c r="J345">
        <v>3</v>
      </c>
      <c r="K345">
        <v>4</v>
      </c>
      <c r="L345" t="s">
        <v>30</v>
      </c>
      <c r="M345" t="s">
        <v>73</v>
      </c>
      <c r="N345" t="s">
        <v>612</v>
      </c>
    </row>
    <row r="346" spans="1:14" x14ac:dyDescent="0.25">
      <c r="A346" t="s">
        <v>74</v>
      </c>
      <c r="B346" t="s">
        <v>75</v>
      </c>
      <c r="C346" t="s">
        <v>51</v>
      </c>
      <c r="D346" s="13">
        <v>45422</v>
      </c>
      <c r="E346" t="s">
        <v>205</v>
      </c>
      <c r="F346">
        <v>47839.22</v>
      </c>
      <c r="G346">
        <v>48894.37</v>
      </c>
      <c r="H346">
        <v>194295.66</v>
      </c>
      <c r="I346">
        <v>58679.26</v>
      </c>
      <c r="J346">
        <v>5</v>
      </c>
      <c r="K346">
        <v>4</v>
      </c>
      <c r="L346" t="s">
        <v>30</v>
      </c>
      <c r="M346" t="s">
        <v>73</v>
      </c>
      <c r="N346" t="s">
        <v>612</v>
      </c>
    </row>
    <row r="347" spans="1:14" x14ac:dyDescent="0.25">
      <c r="A347" t="s">
        <v>78</v>
      </c>
      <c r="B347" t="s">
        <v>79</v>
      </c>
      <c r="C347" t="s">
        <v>137</v>
      </c>
      <c r="D347" s="13">
        <v>45422</v>
      </c>
      <c r="E347" t="s">
        <v>205</v>
      </c>
      <c r="F347">
        <v>16097.54</v>
      </c>
      <c r="G347">
        <v>17413.169999999998</v>
      </c>
      <c r="H347">
        <v>48295.73</v>
      </c>
      <c r="I347">
        <v>13824.36</v>
      </c>
      <c r="J347">
        <v>9</v>
      </c>
      <c r="K347">
        <v>7</v>
      </c>
      <c r="L347" t="s">
        <v>30</v>
      </c>
      <c r="M347" t="s">
        <v>611</v>
      </c>
      <c r="N347" t="s">
        <v>612</v>
      </c>
    </row>
    <row r="348" spans="1:14" x14ac:dyDescent="0.25">
      <c r="A348" t="s">
        <v>82</v>
      </c>
      <c r="B348" t="s">
        <v>83</v>
      </c>
      <c r="C348" t="s">
        <v>137</v>
      </c>
      <c r="D348" s="13">
        <v>45422</v>
      </c>
      <c r="E348" t="s">
        <v>205</v>
      </c>
      <c r="F348">
        <v>34942.25</v>
      </c>
      <c r="G348">
        <v>19369.23</v>
      </c>
      <c r="H348">
        <v>3149.33</v>
      </c>
      <c r="I348">
        <v>814.49</v>
      </c>
      <c r="J348">
        <v>5</v>
      </c>
      <c r="K348">
        <v>11</v>
      </c>
      <c r="L348" t="s">
        <v>30</v>
      </c>
      <c r="M348" t="s">
        <v>73</v>
      </c>
      <c r="N348" t="s">
        <v>613</v>
      </c>
    </row>
    <row r="349" spans="1:14" x14ac:dyDescent="0.25">
      <c r="A349" t="s">
        <v>84</v>
      </c>
      <c r="B349" t="s">
        <v>85</v>
      </c>
      <c r="C349" t="s">
        <v>137</v>
      </c>
      <c r="D349" s="13">
        <v>45422</v>
      </c>
      <c r="E349" t="s">
        <v>205</v>
      </c>
      <c r="F349">
        <v>14924</v>
      </c>
      <c r="G349">
        <v>15679.46</v>
      </c>
      <c r="H349">
        <v>468207</v>
      </c>
      <c r="I349">
        <v>8535.07</v>
      </c>
      <c r="J349">
        <v>6</v>
      </c>
      <c r="K349">
        <v>8</v>
      </c>
      <c r="L349" t="s">
        <v>30</v>
      </c>
      <c r="M349" t="s">
        <v>115</v>
      </c>
      <c r="N349" t="s">
        <v>612</v>
      </c>
    </row>
    <row r="350" spans="1:14" x14ac:dyDescent="0.25">
      <c r="A350" t="s">
        <v>87</v>
      </c>
      <c r="B350" t="s">
        <v>88</v>
      </c>
      <c r="C350" t="s">
        <v>137</v>
      </c>
      <c r="D350" s="13">
        <v>45422</v>
      </c>
      <c r="E350" t="s">
        <v>205</v>
      </c>
      <c r="F350">
        <v>21117.73</v>
      </c>
      <c r="G350">
        <v>16048.51</v>
      </c>
      <c r="H350">
        <v>100124.74</v>
      </c>
      <c r="I350">
        <v>23094.42</v>
      </c>
      <c r="J350">
        <v>3</v>
      </c>
      <c r="K350">
        <v>15</v>
      </c>
      <c r="L350" t="s">
        <v>112</v>
      </c>
      <c r="M350" t="s">
        <v>127</v>
      </c>
      <c r="N350" t="s">
        <v>612</v>
      </c>
    </row>
    <row r="351" spans="1:14" x14ac:dyDescent="0.25">
      <c r="A351" t="s">
        <v>90</v>
      </c>
      <c r="B351" t="s">
        <v>91</v>
      </c>
      <c r="C351" t="s">
        <v>137</v>
      </c>
      <c r="D351" s="13">
        <v>45422</v>
      </c>
      <c r="E351" t="s">
        <v>205</v>
      </c>
      <c r="F351">
        <v>30382.5</v>
      </c>
      <c r="G351">
        <v>37213.620000000003</v>
      </c>
      <c r="H351">
        <v>95082.65</v>
      </c>
      <c r="I351">
        <v>20963.16</v>
      </c>
      <c r="J351">
        <v>3</v>
      </c>
      <c r="K351">
        <v>10</v>
      </c>
      <c r="L351" t="s">
        <v>30</v>
      </c>
      <c r="M351" t="s">
        <v>611</v>
      </c>
      <c r="N351" t="s">
        <v>612</v>
      </c>
    </row>
    <row r="352" spans="1:14" x14ac:dyDescent="0.25">
      <c r="A352" t="s">
        <v>93</v>
      </c>
      <c r="B352" t="s">
        <v>94</v>
      </c>
      <c r="C352" t="s">
        <v>137</v>
      </c>
      <c r="D352" s="13">
        <v>45422</v>
      </c>
      <c r="E352" t="s">
        <v>205</v>
      </c>
      <c r="F352">
        <v>42357</v>
      </c>
      <c r="G352">
        <v>23190.48</v>
      </c>
      <c r="H352">
        <v>139407.92000000001</v>
      </c>
      <c r="I352">
        <v>41273.879999999997</v>
      </c>
      <c r="J352">
        <v>6</v>
      </c>
      <c r="K352">
        <v>3</v>
      </c>
      <c r="L352" t="s">
        <v>30</v>
      </c>
      <c r="M352" t="s">
        <v>105</v>
      </c>
      <c r="N352" t="s">
        <v>612</v>
      </c>
    </row>
    <row r="353" spans="1:14" x14ac:dyDescent="0.25">
      <c r="A353" t="s">
        <v>96</v>
      </c>
      <c r="B353" t="s">
        <v>97</v>
      </c>
      <c r="C353" t="s">
        <v>137</v>
      </c>
      <c r="D353" s="13">
        <v>45422</v>
      </c>
      <c r="E353" t="s">
        <v>205</v>
      </c>
      <c r="F353">
        <v>18386.64</v>
      </c>
      <c r="G353">
        <v>19664.04</v>
      </c>
      <c r="H353">
        <v>62645.8</v>
      </c>
      <c r="I353">
        <v>12576.09</v>
      </c>
      <c r="J353">
        <v>5</v>
      </c>
      <c r="K353">
        <v>13</v>
      </c>
      <c r="L353" t="s">
        <v>30</v>
      </c>
      <c r="M353" t="s">
        <v>125</v>
      </c>
      <c r="N353" t="s">
        <v>612</v>
      </c>
    </row>
    <row r="354" spans="1:14" x14ac:dyDescent="0.25">
      <c r="A354" t="s">
        <v>14</v>
      </c>
      <c r="B354" t="s">
        <v>15</v>
      </c>
      <c r="C354" t="s">
        <v>16</v>
      </c>
      <c r="D354" s="13">
        <v>45429</v>
      </c>
      <c r="E354" t="s">
        <v>205</v>
      </c>
      <c r="F354">
        <v>168389.38</v>
      </c>
      <c r="G354">
        <v>178613.1</v>
      </c>
      <c r="H354">
        <v>753255.11</v>
      </c>
      <c r="I354">
        <v>145842.29999999999</v>
      </c>
      <c r="J354">
        <v>4</v>
      </c>
      <c r="K354">
        <v>7</v>
      </c>
      <c r="L354" t="s">
        <v>30</v>
      </c>
      <c r="M354" t="s">
        <v>611</v>
      </c>
      <c r="N354" t="s">
        <v>612</v>
      </c>
    </row>
    <row r="355" spans="1:14" x14ac:dyDescent="0.25">
      <c r="A355" t="s">
        <v>21</v>
      </c>
      <c r="B355" t="s">
        <v>22</v>
      </c>
      <c r="C355" t="s">
        <v>16</v>
      </c>
      <c r="D355" s="13">
        <v>45429</v>
      </c>
      <c r="E355" t="s">
        <v>205</v>
      </c>
      <c r="F355">
        <v>114017.92</v>
      </c>
      <c r="G355">
        <v>185954.08</v>
      </c>
      <c r="H355">
        <v>510520.76</v>
      </c>
      <c r="I355">
        <v>126666.59</v>
      </c>
      <c r="J355">
        <v>6</v>
      </c>
      <c r="K355">
        <v>8</v>
      </c>
      <c r="L355" t="s">
        <v>30</v>
      </c>
      <c r="M355" t="s">
        <v>611</v>
      </c>
      <c r="N355" t="s">
        <v>612</v>
      </c>
    </row>
    <row r="356" spans="1:14" x14ac:dyDescent="0.25">
      <c r="A356" t="s">
        <v>27</v>
      </c>
      <c r="B356" t="s">
        <v>28</v>
      </c>
      <c r="C356" t="s">
        <v>16</v>
      </c>
      <c r="D356" s="13">
        <v>45429</v>
      </c>
      <c r="E356" t="s">
        <v>205</v>
      </c>
      <c r="F356">
        <v>190969.92</v>
      </c>
      <c r="G356">
        <v>185451.63</v>
      </c>
      <c r="H356">
        <v>894458.16</v>
      </c>
      <c r="I356">
        <v>187381.32</v>
      </c>
      <c r="J356">
        <v>5</v>
      </c>
      <c r="K356">
        <v>8</v>
      </c>
      <c r="L356" t="s">
        <v>30</v>
      </c>
      <c r="M356" t="s">
        <v>113</v>
      </c>
      <c r="N356" t="s">
        <v>612</v>
      </c>
    </row>
    <row r="357" spans="1:14" x14ac:dyDescent="0.25">
      <c r="A357" t="s">
        <v>32</v>
      </c>
      <c r="B357" t="s">
        <v>33</v>
      </c>
      <c r="C357" t="s">
        <v>16</v>
      </c>
      <c r="D357" s="13">
        <v>45429</v>
      </c>
      <c r="E357" t="s">
        <v>205</v>
      </c>
      <c r="F357">
        <v>209235.73</v>
      </c>
      <c r="G357">
        <v>214160.53</v>
      </c>
      <c r="H357">
        <v>997450.15</v>
      </c>
      <c r="I357">
        <v>213160.34</v>
      </c>
      <c r="J357">
        <v>6</v>
      </c>
      <c r="K357">
        <v>4</v>
      </c>
      <c r="L357" t="s">
        <v>30</v>
      </c>
      <c r="M357" t="s">
        <v>611</v>
      </c>
      <c r="N357" t="s">
        <v>612</v>
      </c>
    </row>
    <row r="358" spans="1:14" x14ac:dyDescent="0.25">
      <c r="A358" t="s">
        <v>39</v>
      </c>
      <c r="B358" t="s">
        <v>40</v>
      </c>
      <c r="C358" t="s">
        <v>16</v>
      </c>
      <c r="D358" s="13">
        <v>45429</v>
      </c>
      <c r="E358" t="s">
        <v>205</v>
      </c>
      <c r="F358">
        <v>208798.47</v>
      </c>
      <c r="G358">
        <v>207251.95</v>
      </c>
      <c r="H358">
        <v>583859.16</v>
      </c>
      <c r="I358">
        <v>124007.31</v>
      </c>
      <c r="J358">
        <v>3</v>
      </c>
      <c r="K358">
        <v>8</v>
      </c>
      <c r="L358" t="s">
        <v>30</v>
      </c>
      <c r="M358" t="s">
        <v>611</v>
      </c>
      <c r="N358" t="s">
        <v>612</v>
      </c>
    </row>
    <row r="359" spans="1:14" x14ac:dyDescent="0.25">
      <c r="A359" t="s">
        <v>44</v>
      </c>
      <c r="B359" t="s">
        <v>45</v>
      </c>
      <c r="C359" t="s">
        <v>16</v>
      </c>
      <c r="D359" s="13">
        <v>45429</v>
      </c>
      <c r="E359" t="s">
        <v>205</v>
      </c>
      <c r="F359">
        <v>190944.89</v>
      </c>
      <c r="G359">
        <v>176548.36</v>
      </c>
      <c r="H359">
        <v>589774.18000000005</v>
      </c>
      <c r="I359">
        <v>131056.11</v>
      </c>
      <c r="J359">
        <v>5</v>
      </c>
      <c r="K359">
        <v>5</v>
      </c>
      <c r="L359" t="s">
        <v>30</v>
      </c>
      <c r="M359" t="s">
        <v>611</v>
      </c>
      <c r="N359" t="s">
        <v>612</v>
      </c>
    </row>
    <row r="360" spans="1:14" x14ac:dyDescent="0.25">
      <c r="A360" t="s">
        <v>49</v>
      </c>
      <c r="B360" t="s">
        <v>50</v>
      </c>
      <c r="C360" t="s">
        <v>51</v>
      </c>
      <c r="D360" s="13">
        <v>45429</v>
      </c>
      <c r="E360" t="s">
        <v>205</v>
      </c>
      <c r="F360">
        <v>36032.25</v>
      </c>
      <c r="G360">
        <v>56713.72</v>
      </c>
      <c r="H360">
        <v>132502.51</v>
      </c>
      <c r="I360">
        <v>37509.29</v>
      </c>
      <c r="J360">
        <v>6</v>
      </c>
      <c r="K360">
        <v>4</v>
      </c>
      <c r="L360" t="s">
        <v>112</v>
      </c>
      <c r="M360" t="s">
        <v>611</v>
      </c>
      <c r="N360" t="s">
        <v>612</v>
      </c>
    </row>
    <row r="361" spans="1:14" x14ac:dyDescent="0.25">
      <c r="A361" t="s">
        <v>59</v>
      </c>
      <c r="B361" t="s">
        <v>60</v>
      </c>
      <c r="C361" t="s">
        <v>51</v>
      </c>
      <c r="D361" s="13">
        <v>45429</v>
      </c>
      <c r="E361" t="s">
        <v>205</v>
      </c>
      <c r="F361">
        <v>53612.81</v>
      </c>
      <c r="G361">
        <v>28570.52</v>
      </c>
      <c r="H361">
        <v>176562.7</v>
      </c>
      <c r="I361">
        <v>36037.379999999997</v>
      </c>
      <c r="J361">
        <v>1</v>
      </c>
      <c r="K361">
        <v>2</v>
      </c>
      <c r="L361" t="s">
        <v>30</v>
      </c>
      <c r="M361" t="s">
        <v>611</v>
      </c>
      <c r="N361" t="s">
        <v>612</v>
      </c>
    </row>
    <row r="362" spans="1:14" x14ac:dyDescent="0.25">
      <c r="A362" t="s">
        <v>62</v>
      </c>
      <c r="B362" t="s">
        <v>63</v>
      </c>
      <c r="C362" t="s">
        <v>51</v>
      </c>
      <c r="D362" s="13">
        <v>45429</v>
      </c>
      <c r="E362" t="s">
        <v>205</v>
      </c>
      <c r="F362">
        <v>83560.31</v>
      </c>
      <c r="G362">
        <v>78936.320000000007</v>
      </c>
      <c r="H362">
        <v>368433.15</v>
      </c>
      <c r="I362">
        <v>119746.57</v>
      </c>
      <c r="J362">
        <v>6</v>
      </c>
      <c r="K362">
        <v>8</v>
      </c>
      <c r="L362" t="s">
        <v>30</v>
      </c>
      <c r="M362" t="s">
        <v>127</v>
      </c>
      <c r="N362" t="s">
        <v>612</v>
      </c>
    </row>
    <row r="363" spans="1:14" x14ac:dyDescent="0.25">
      <c r="A363" t="s">
        <v>66</v>
      </c>
      <c r="B363" t="s">
        <v>67</v>
      </c>
      <c r="C363" t="s">
        <v>51</v>
      </c>
      <c r="D363" s="13">
        <v>45429</v>
      </c>
      <c r="E363" t="s">
        <v>205</v>
      </c>
      <c r="F363">
        <v>85632.38</v>
      </c>
      <c r="G363">
        <v>73835.45</v>
      </c>
      <c r="H363">
        <v>425768.17</v>
      </c>
      <c r="I363">
        <v>109771.19</v>
      </c>
      <c r="J363">
        <v>1</v>
      </c>
      <c r="K363">
        <v>6</v>
      </c>
      <c r="L363" t="s">
        <v>30</v>
      </c>
      <c r="M363" t="s">
        <v>611</v>
      </c>
      <c r="N363" t="s">
        <v>612</v>
      </c>
    </row>
    <row r="364" spans="1:14" x14ac:dyDescent="0.25">
      <c r="A364" t="s">
        <v>68</v>
      </c>
      <c r="B364" t="s">
        <v>69</v>
      </c>
      <c r="C364" t="s">
        <v>51</v>
      </c>
      <c r="D364" s="13">
        <v>45429</v>
      </c>
      <c r="E364" t="s">
        <v>205</v>
      </c>
      <c r="F364">
        <v>65140.639999999999</v>
      </c>
      <c r="G364">
        <v>66773.34</v>
      </c>
      <c r="H364">
        <v>248514.07</v>
      </c>
      <c r="I364">
        <v>62325.15</v>
      </c>
      <c r="J364">
        <v>1</v>
      </c>
      <c r="K364">
        <v>1</v>
      </c>
      <c r="L364" t="s">
        <v>30</v>
      </c>
      <c r="M364" t="s">
        <v>611</v>
      </c>
      <c r="N364" t="s">
        <v>612</v>
      </c>
    </row>
    <row r="365" spans="1:14" x14ac:dyDescent="0.25">
      <c r="A365" t="s">
        <v>74</v>
      </c>
      <c r="B365" t="s">
        <v>75</v>
      </c>
      <c r="C365" t="s">
        <v>51</v>
      </c>
      <c r="D365" s="13">
        <v>45429</v>
      </c>
      <c r="E365" t="s">
        <v>205</v>
      </c>
      <c r="F365">
        <v>34863.79</v>
      </c>
      <c r="G365">
        <v>38322.620000000003</v>
      </c>
      <c r="H365">
        <v>126734.73</v>
      </c>
      <c r="I365">
        <v>35614.33</v>
      </c>
      <c r="J365">
        <v>1</v>
      </c>
      <c r="K365">
        <v>8</v>
      </c>
      <c r="L365" t="s">
        <v>30</v>
      </c>
      <c r="M365" t="s">
        <v>115</v>
      </c>
      <c r="N365" t="s">
        <v>612</v>
      </c>
    </row>
    <row r="366" spans="1:14" x14ac:dyDescent="0.25">
      <c r="A366" t="s">
        <v>78</v>
      </c>
      <c r="B366" t="s">
        <v>79</v>
      </c>
      <c r="C366" t="s">
        <v>137</v>
      </c>
      <c r="D366" s="13">
        <v>45429</v>
      </c>
      <c r="E366" t="s">
        <v>205</v>
      </c>
      <c r="F366">
        <v>15639.76</v>
      </c>
      <c r="G366">
        <v>17971.23</v>
      </c>
      <c r="H366">
        <v>41864.660000000003</v>
      </c>
      <c r="I366">
        <v>10250</v>
      </c>
      <c r="J366">
        <v>8</v>
      </c>
      <c r="K366">
        <v>13</v>
      </c>
      <c r="L366" t="s">
        <v>30</v>
      </c>
      <c r="M366" t="s">
        <v>43</v>
      </c>
      <c r="N366" t="s">
        <v>612</v>
      </c>
    </row>
    <row r="367" spans="1:14" x14ac:dyDescent="0.25">
      <c r="A367" t="s">
        <v>82</v>
      </c>
      <c r="B367" t="s">
        <v>83</v>
      </c>
      <c r="C367" t="s">
        <v>137</v>
      </c>
      <c r="D367" s="13">
        <v>45429</v>
      </c>
      <c r="E367" t="s">
        <v>205</v>
      </c>
      <c r="F367">
        <v>29342.39</v>
      </c>
      <c r="G367">
        <v>14671.1</v>
      </c>
      <c r="H367">
        <v>117627.31</v>
      </c>
      <c r="I367">
        <v>23094.82</v>
      </c>
      <c r="J367">
        <v>7</v>
      </c>
      <c r="K367">
        <v>12</v>
      </c>
      <c r="L367" t="s">
        <v>30</v>
      </c>
      <c r="M367" t="s">
        <v>125</v>
      </c>
      <c r="N367" t="s">
        <v>612</v>
      </c>
    </row>
    <row r="368" spans="1:14" x14ac:dyDescent="0.25">
      <c r="A368" t="s">
        <v>84</v>
      </c>
      <c r="B368" t="s">
        <v>85</v>
      </c>
      <c r="C368" t="s">
        <v>137</v>
      </c>
      <c r="D368" s="13">
        <v>45429</v>
      </c>
      <c r="E368" t="s">
        <v>205</v>
      </c>
      <c r="F368">
        <v>19502.46</v>
      </c>
      <c r="G368">
        <v>15021.17</v>
      </c>
      <c r="H368">
        <v>96209.14</v>
      </c>
      <c r="I368">
        <v>27909.68</v>
      </c>
      <c r="J368">
        <v>4</v>
      </c>
      <c r="K368">
        <v>7</v>
      </c>
      <c r="L368" t="s">
        <v>112</v>
      </c>
      <c r="M368" t="s">
        <v>73</v>
      </c>
      <c r="N368" t="s">
        <v>612</v>
      </c>
    </row>
    <row r="369" spans="1:14" x14ac:dyDescent="0.25">
      <c r="A369" t="s">
        <v>87</v>
      </c>
      <c r="B369" t="s">
        <v>88</v>
      </c>
      <c r="C369" t="s">
        <v>137</v>
      </c>
      <c r="D369" s="13">
        <v>45429</v>
      </c>
      <c r="E369" t="s">
        <v>205</v>
      </c>
      <c r="F369">
        <v>22123.49</v>
      </c>
      <c r="G369">
        <v>19861.16</v>
      </c>
      <c r="H369">
        <v>85783</v>
      </c>
      <c r="I369">
        <v>22928.25</v>
      </c>
      <c r="J369">
        <v>10</v>
      </c>
      <c r="K369">
        <v>2</v>
      </c>
      <c r="L369" t="s">
        <v>30</v>
      </c>
      <c r="M369" t="s">
        <v>125</v>
      </c>
      <c r="N369" t="s">
        <v>612</v>
      </c>
    </row>
    <row r="370" spans="1:14" x14ac:dyDescent="0.25">
      <c r="A370" t="s">
        <v>90</v>
      </c>
      <c r="B370" t="s">
        <v>91</v>
      </c>
      <c r="C370" t="s">
        <v>137</v>
      </c>
      <c r="D370" s="13">
        <v>45429</v>
      </c>
      <c r="E370" t="s">
        <v>205</v>
      </c>
      <c r="F370">
        <v>9221.99</v>
      </c>
      <c r="G370">
        <v>8835.82</v>
      </c>
      <c r="H370">
        <v>29917.22</v>
      </c>
      <c r="I370">
        <v>7699.19</v>
      </c>
      <c r="J370">
        <v>12</v>
      </c>
      <c r="K370">
        <v>13</v>
      </c>
      <c r="L370" t="s">
        <v>30</v>
      </c>
      <c r="M370" t="s">
        <v>611</v>
      </c>
      <c r="N370" t="s">
        <v>612</v>
      </c>
    </row>
    <row r="371" spans="1:14" x14ac:dyDescent="0.25">
      <c r="A371" t="s">
        <v>96</v>
      </c>
      <c r="B371" t="s">
        <v>97</v>
      </c>
      <c r="C371" t="s">
        <v>137</v>
      </c>
      <c r="D371" s="13">
        <v>45429</v>
      </c>
      <c r="E371" t="s">
        <v>205</v>
      </c>
      <c r="F371">
        <v>8359.2199999999993</v>
      </c>
      <c r="G371">
        <v>9010.41</v>
      </c>
      <c r="H371">
        <v>35355.47</v>
      </c>
      <c r="I371">
        <v>12168.88</v>
      </c>
      <c r="J371">
        <v>11</v>
      </c>
      <c r="K371">
        <v>9</v>
      </c>
      <c r="L371" t="s">
        <v>30</v>
      </c>
      <c r="M371" t="s">
        <v>113</v>
      </c>
      <c r="N371" t="s">
        <v>612</v>
      </c>
    </row>
    <row r="372" spans="1:14" x14ac:dyDescent="0.25">
      <c r="A372" t="s">
        <v>14</v>
      </c>
      <c r="B372" t="s">
        <v>15</v>
      </c>
      <c r="C372" t="s">
        <v>16</v>
      </c>
      <c r="D372" s="13">
        <v>45436</v>
      </c>
      <c r="E372" t="s">
        <v>205</v>
      </c>
      <c r="F372">
        <v>194235.55</v>
      </c>
      <c r="G372">
        <v>200327.79</v>
      </c>
      <c r="H372">
        <v>902715</v>
      </c>
      <c r="I372">
        <v>262027.59</v>
      </c>
      <c r="J372">
        <v>6</v>
      </c>
      <c r="K372">
        <v>4</v>
      </c>
      <c r="L372" t="s">
        <v>30</v>
      </c>
      <c r="M372" t="s">
        <v>611</v>
      </c>
      <c r="N372" t="s">
        <v>612</v>
      </c>
    </row>
    <row r="373" spans="1:14" x14ac:dyDescent="0.25">
      <c r="A373" t="s">
        <v>21</v>
      </c>
      <c r="B373" t="s">
        <v>22</v>
      </c>
      <c r="C373" t="s">
        <v>16</v>
      </c>
      <c r="D373" s="13">
        <v>45436</v>
      </c>
      <c r="E373" t="s">
        <v>205</v>
      </c>
      <c r="F373">
        <v>108261.99</v>
      </c>
      <c r="G373">
        <v>179619.75</v>
      </c>
      <c r="H373">
        <v>19062.990000000002</v>
      </c>
      <c r="I373">
        <v>5742.26</v>
      </c>
      <c r="J373">
        <v>4</v>
      </c>
      <c r="K373">
        <v>7</v>
      </c>
      <c r="L373" t="s">
        <v>30</v>
      </c>
      <c r="M373" t="s">
        <v>611</v>
      </c>
      <c r="N373" t="s">
        <v>613</v>
      </c>
    </row>
    <row r="374" spans="1:14" x14ac:dyDescent="0.25">
      <c r="A374" t="s">
        <v>27</v>
      </c>
      <c r="B374" t="s">
        <v>28</v>
      </c>
      <c r="C374" t="s">
        <v>16</v>
      </c>
      <c r="D374" s="13">
        <v>45436</v>
      </c>
      <c r="E374" t="s">
        <v>205</v>
      </c>
      <c r="F374">
        <v>88498.66</v>
      </c>
      <c r="G374">
        <v>81688.08</v>
      </c>
      <c r="H374">
        <v>343652.6</v>
      </c>
      <c r="I374">
        <v>99731.78</v>
      </c>
      <c r="J374">
        <v>4</v>
      </c>
      <c r="K374">
        <v>6</v>
      </c>
      <c r="L374" t="s">
        <v>30</v>
      </c>
      <c r="M374" t="s">
        <v>105</v>
      </c>
      <c r="N374" t="s">
        <v>612</v>
      </c>
    </row>
    <row r="375" spans="1:14" x14ac:dyDescent="0.25">
      <c r="A375" t="s">
        <v>32</v>
      </c>
      <c r="B375" t="s">
        <v>33</v>
      </c>
      <c r="C375" t="s">
        <v>16</v>
      </c>
      <c r="D375" s="13">
        <v>45436</v>
      </c>
      <c r="E375" t="s">
        <v>205</v>
      </c>
      <c r="F375">
        <v>162272.22</v>
      </c>
      <c r="G375">
        <v>167074.79999999999</v>
      </c>
      <c r="H375">
        <v>458889.03</v>
      </c>
      <c r="I375">
        <v>138095.99</v>
      </c>
      <c r="J375">
        <v>4</v>
      </c>
      <c r="K375">
        <v>8</v>
      </c>
      <c r="L375" t="s">
        <v>30</v>
      </c>
      <c r="M375" t="s">
        <v>125</v>
      </c>
      <c r="N375" t="s">
        <v>612</v>
      </c>
    </row>
    <row r="376" spans="1:14" x14ac:dyDescent="0.25">
      <c r="A376" t="s">
        <v>39</v>
      </c>
      <c r="B376" t="s">
        <v>40</v>
      </c>
      <c r="C376" t="s">
        <v>16</v>
      </c>
      <c r="D376" s="13">
        <v>45436</v>
      </c>
      <c r="E376" t="s">
        <v>205</v>
      </c>
      <c r="F376">
        <v>94126.52</v>
      </c>
      <c r="G376">
        <v>92861.23</v>
      </c>
      <c r="H376">
        <v>306770.55</v>
      </c>
      <c r="I376">
        <v>57672.37</v>
      </c>
      <c r="J376">
        <v>1</v>
      </c>
      <c r="K376">
        <v>8</v>
      </c>
      <c r="L376" t="s">
        <v>30</v>
      </c>
      <c r="M376" t="s">
        <v>611</v>
      </c>
      <c r="N376" t="s">
        <v>612</v>
      </c>
    </row>
    <row r="377" spans="1:14" x14ac:dyDescent="0.25">
      <c r="A377" t="s">
        <v>44</v>
      </c>
      <c r="B377" t="s">
        <v>45</v>
      </c>
      <c r="C377" t="s">
        <v>16</v>
      </c>
      <c r="D377" s="13">
        <v>45436</v>
      </c>
      <c r="E377" t="s">
        <v>205</v>
      </c>
      <c r="F377">
        <v>158677.4</v>
      </c>
      <c r="G377">
        <v>158331.24</v>
      </c>
      <c r="H377">
        <v>708052.61</v>
      </c>
      <c r="I377">
        <v>220144.98</v>
      </c>
      <c r="J377">
        <v>5</v>
      </c>
      <c r="K377">
        <v>6</v>
      </c>
      <c r="L377" t="s">
        <v>30</v>
      </c>
      <c r="M377" t="s">
        <v>611</v>
      </c>
      <c r="N377" t="s">
        <v>612</v>
      </c>
    </row>
    <row r="378" spans="1:14" x14ac:dyDescent="0.25">
      <c r="A378" t="s">
        <v>49</v>
      </c>
      <c r="B378" t="s">
        <v>50</v>
      </c>
      <c r="C378" t="s">
        <v>51</v>
      </c>
      <c r="D378" s="13">
        <v>45436</v>
      </c>
      <c r="E378" t="s">
        <v>205</v>
      </c>
      <c r="F378">
        <v>60618.26</v>
      </c>
      <c r="G378">
        <v>104005.95</v>
      </c>
      <c r="H378">
        <v>247008.21</v>
      </c>
      <c r="I378">
        <v>82715.039999999994</v>
      </c>
      <c r="J378">
        <v>2</v>
      </c>
      <c r="K378">
        <v>3</v>
      </c>
      <c r="L378" t="s">
        <v>30</v>
      </c>
      <c r="M378" t="s">
        <v>611</v>
      </c>
      <c r="N378" t="s">
        <v>612</v>
      </c>
    </row>
    <row r="379" spans="1:14" x14ac:dyDescent="0.25">
      <c r="A379" t="s">
        <v>55</v>
      </c>
      <c r="B379" t="s">
        <v>56</v>
      </c>
      <c r="C379" t="s">
        <v>51</v>
      </c>
      <c r="D379" s="13">
        <v>45436</v>
      </c>
      <c r="E379" t="s">
        <v>205</v>
      </c>
      <c r="F379">
        <v>76153.16</v>
      </c>
      <c r="G379">
        <v>64880.68</v>
      </c>
      <c r="H379">
        <v>255364.4</v>
      </c>
      <c r="I379">
        <v>49665.760000000002</v>
      </c>
      <c r="J379">
        <v>3</v>
      </c>
      <c r="K379">
        <v>8</v>
      </c>
      <c r="L379" t="s">
        <v>30</v>
      </c>
      <c r="M379" t="s">
        <v>611</v>
      </c>
      <c r="N379" t="s">
        <v>612</v>
      </c>
    </row>
    <row r="380" spans="1:14" x14ac:dyDescent="0.25">
      <c r="A380" t="s">
        <v>59</v>
      </c>
      <c r="B380" t="s">
        <v>60</v>
      </c>
      <c r="C380" t="s">
        <v>51</v>
      </c>
      <c r="D380" s="13">
        <v>45436</v>
      </c>
      <c r="E380" t="s">
        <v>205</v>
      </c>
      <c r="F380">
        <v>119186.22</v>
      </c>
      <c r="G380">
        <v>67309.03</v>
      </c>
      <c r="H380">
        <v>25178.02</v>
      </c>
      <c r="I380">
        <v>8571.08</v>
      </c>
      <c r="J380">
        <v>1</v>
      </c>
      <c r="K380">
        <v>8</v>
      </c>
      <c r="L380" t="s">
        <v>30</v>
      </c>
      <c r="M380" t="s">
        <v>611</v>
      </c>
      <c r="N380" t="s">
        <v>613</v>
      </c>
    </row>
    <row r="381" spans="1:14" x14ac:dyDescent="0.25">
      <c r="A381" t="s">
        <v>62</v>
      </c>
      <c r="B381" t="s">
        <v>63</v>
      </c>
      <c r="C381" t="s">
        <v>51</v>
      </c>
      <c r="D381" s="13">
        <v>45436</v>
      </c>
      <c r="E381" t="s">
        <v>205</v>
      </c>
      <c r="F381">
        <v>55158.32</v>
      </c>
      <c r="G381">
        <v>61542.06</v>
      </c>
      <c r="H381">
        <v>237394.65</v>
      </c>
      <c r="I381">
        <v>56620.23</v>
      </c>
      <c r="J381">
        <v>3</v>
      </c>
      <c r="K381">
        <v>5</v>
      </c>
      <c r="L381" t="s">
        <v>112</v>
      </c>
      <c r="M381" t="s">
        <v>611</v>
      </c>
      <c r="N381" t="s">
        <v>612</v>
      </c>
    </row>
    <row r="382" spans="1:14" x14ac:dyDescent="0.25">
      <c r="A382" t="s">
        <v>66</v>
      </c>
      <c r="B382" t="s">
        <v>67</v>
      </c>
      <c r="C382" t="s">
        <v>51</v>
      </c>
      <c r="D382" s="13">
        <v>45436</v>
      </c>
      <c r="E382" t="s">
        <v>205</v>
      </c>
      <c r="F382">
        <v>76893.789999999994</v>
      </c>
      <c r="G382">
        <v>74690.91</v>
      </c>
      <c r="H382">
        <v>361588.16</v>
      </c>
      <c r="I382">
        <v>98121.9</v>
      </c>
      <c r="J382">
        <v>4</v>
      </c>
      <c r="K382">
        <v>4</v>
      </c>
      <c r="L382" t="s">
        <v>30</v>
      </c>
      <c r="M382" t="s">
        <v>113</v>
      </c>
      <c r="N382" t="s">
        <v>612</v>
      </c>
    </row>
    <row r="383" spans="1:14" x14ac:dyDescent="0.25">
      <c r="A383" t="s">
        <v>68</v>
      </c>
      <c r="B383" t="s">
        <v>69</v>
      </c>
      <c r="C383" t="s">
        <v>51</v>
      </c>
      <c r="D383" s="13">
        <v>45436</v>
      </c>
      <c r="E383" t="s">
        <v>205</v>
      </c>
      <c r="F383">
        <v>62395.96</v>
      </c>
      <c r="G383">
        <v>57878.93</v>
      </c>
      <c r="H383">
        <v>269318</v>
      </c>
      <c r="I383">
        <v>53533.72</v>
      </c>
      <c r="J383">
        <v>1</v>
      </c>
      <c r="K383">
        <v>5</v>
      </c>
      <c r="L383" t="s">
        <v>112</v>
      </c>
      <c r="M383" t="s">
        <v>611</v>
      </c>
      <c r="N383" t="s">
        <v>612</v>
      </c>
    </row>
    <row r="384" spans="1:14" x14ac:dyDescent="0.25">
      <c r="A384" t="s">
        <v>74</v>
      </c>
      <c r="B384" t="s">
        <v>75</v>
      </c>
      <c r="C384" t="s">
        <v>51</v>
      </c>
      <c r="D384" s="13">
        <v>45436</v>
      </c>
      <c r="E384" t="s">
        <v>205</v>
      </c>
      <c r="F384">
        <v>44165.84</v>
      </c>
      <c r="G384">
        <v>47422.07</v>
      </c>
      <c r="H384">
        <v>149096.93</v>
      </c>
      <c r="I384">
        <v>46729.09</v>
      </c>
      <c r="J384">
        <v>6</v>
      </c>
      <c r="K384">
        <v>4</v>
      </c>
      <c r="L384" t="s">
        <v>30</v>
      </c>
      <c r="M384" t="s">
        <v>611</v>
      </c>
      <c r="N384" t="s">
        <v>612</v>
      </c>
    </row>
    <row r="385" spans="1:14" x14ac:dyDescent="0.25">
      <c r="A385" t="s">
        <v>78</v>
      </c>
      <c r="B385" t="s">
        <v>79</v>
      </c>
      <c r="C385" t="s">
        <v>137</v>
      </c>
      <c r="D385" s="13">
        <v>45436</v>
      </c>
      <c r="E385" t="s">
        <v>205</v>
      </c>
      <c r="F385">
        <v>27214.29</v>
      </c>
      <c r="G385">
        <v>31683.39</v>
      </c>
      <c r="H385">
        <v>74311.929999999993</v>
      </c>
      <c r="I385">
        <v>15019.24</v>
      </c>
      <c r="J385">
        <v>5</v>
      </c>
      <c r="K385">
        <v>3</v>
      </c>
      <c r="L385" t="s">
        <v>30</v>
      </c>
      <c r="M385" t="s">
        <v>611</v>
      </c>
      <c r="N385" t="s">
        <v>612</v>
      </c>
    </row>
    <row r="386" spans="1:14" x14ac:dyDescent="0.25">
      <c r="A386" t="s">
        <v>82</v>
      </c>
      <c r="B386" t="s">
        <v>83</v>
      </c>
      <c r="C386" t="s">
        <v>137</v>
      </c>
      <c r="D386" s="13">
        <v>45436</v>
      </c>
      <c r="E386" t="s">
        <v>205</v>
      </c>
      <c r="F386">
        <v>45068</v>
      </c>
      <c r="G386">
        <v>22545.35</v>
      </c>
      <c r="H386">
        <v>126995.8</v>
      </c>
      <c r="I386">
        <v>25652.58</v>
      </c>
      <c r="J386">
        <v>10</v>
      </c>
      <c r="K386">
        <v>10</v>
      </c>
      <c r="L386" t="s">
        <v>30</v>
      </c>
      <c r="M386" t="s">
        <v>611</v>
      </c>
      <c r="N386" t="s">
        <v>612</v>
      </c>
    </row>
    <row r="387" spans="1:14" x14ac:dyDescent="0.25">
      <c r="A387" t="s">
        <v>84</v>
      </c>
      <c r="B387" t="s">
        <v>85</v>
      </c>
      <c r="C387" t="s">
        <v>137</v>
      </c>
      <c r="D387" s="13">
        <v>45436</v>
      </c>
      <c r="E387" t="s">
        <v>205</v>
      </c>
      <c r="F387">
        <v>10979.08</v>
      </c>
      <c r="G387">
        <v>10263.16</v>
      </c>
      <c r="H387">
        <v>28553.34</v>
      </c>
      <c r="I387">
        <v>6942.73</v>
      </c>
      <c r="J387">
        <v>7</v>
      </c>
      <c r="K387">
        <v>6</v>
      </c>
      <c r="L387" t="s">
        <v>30</v>
      </c>
      <c r="M387" t="s">
        <v>125</v>
      </c>
      <c r="N387" t="s">
        <v>612</v>
      </c>
    </row>
    <row r="388" spans="1:14" x14ac:dyDescent="0.25">
      <c r="A388" t="s">
        <v>87</v>
      </c>
      <c r="B388" t="s">
        <v>88</v>
      </c>
      <c r="C388" t="s">
        <v>137</v>
      </c>
      <c r="D388" s="13">
        <v>45436</v>
      </c>
      <c r="E388" t="s">
        <v>205</v>
      </c>
      <c r="F388">
        <v>21197.43</v>
      </c>
      <c r="G388">
        <v>17194.59</v>
      </c>
      <c r="H388">
        <v>3099.81</v>
      </c>
      <c r="I388">
        <v>721.17</v>
      </c>
      <c r="J388">
        <v>9</v>
      </c>
      <c r="K388">
        <v>7</v>
      </c>
      <c r="L388" t="s">
        <v>112</v>
      </c>
      <c r="M388" t="s">
        <v>611</v>
      </c>
      <c r="N388" t="s">
        <v>613</v>
      </c>
    </row>
    <row r="389" spans="1:14" x14ac:dyDescent="0.25">
      <c r="A389" t="s">
        <v>90</v>
      </c>
      <c r="B389" t="s">
        <v>91</v>
      </c>
      <c r="C389" t="s">
        <v>137</v>
      </c>
      <c r="D389" s="13">
        <v>45436</v>
      </c>
      <c r="E389" t="s">
        <v>205</v>
      </c>
      <c r="F389">
        <v>27652.33</v>
      </c>
      <c r="G389">
        <v>21974.13</v>
      </c>
      <c r="H389">
        <v>115068.43</v>
      </c>
      <c r="I389">
        <v>25266.7</v>
      </c>
      <c r="J389">
        <v>8</v>
      </c>
      <c r="K389">
        <v>11</v>
      </c>
      <c r="L389" t="s">
        <v>30</v>
      </c>
      <c r="M389" t="s">
        <v>73</v>
      </c>
      <c r="N389" t="s">
        <v>612</v>
      </c>
    </row>
    <row r="390" spans="1:14" x14ac:dyDescent="0.25">
      <c r="A390" t="s">
        <v>93</v>
      </c>
      <c r="B390" t="s">
        <v>94</v>
      </c>
      <c r="C390" t="s">
        <v>137</v>
      </c>
      <c r="D390" s="13">
        <v>45436</v>
      </c>
      <c r="E390" t="s">
        <v>205</v>
      </c>
      <c r="F390">
        <v>14962.99</v>
      </c>
      <c r="G390">
        <v>8284.6299999999992</v>
      </c>
      <c r="H390">
        <v>65747.929999999993</v>
      </c>
      <c r="I390">
        <v>17666.349999999999</v>
      </c>
      <c r="J390">
        <v>9</v>
      </c>
      <c r="K390">
        <v>11</v>
      </c>
      <c r="L390" t="s">
        <v>30</v>
      </c>
      <c r="M390" t="s">
        <v>26</v>
      </c>
      <c r="N390" t="s">
        <v>612</v>
      </c>
    </row>
    <row r="391" spans="1:14" x14ac:dyDescent="0.25">
      <c r="A391" t="s">
        <v>96</v>
      </c>
      <c r="B391" t="s">
        <v>97</v>
      </c>
      <c r="C391" t="s">
        <v>137</v>
      </c>
      <c r="D391" s="13">
        <v>45436</v>
      </c>
      <c r="E391" t="s">
        <v>205</v>
      </c>
      <c r="F391">
        <v>24385.08</v>
      </c>
      <c r="G391">
        <v>23187.75</v>
      </c>
      <c r="H391">
        <v>90924.22</v>
      </c>
      <c r="I391">
        <v>21621.11</v>
      </c>
      <c r="J391">
        <v>4</v>
      </c>
      <c r="K391">
        <v>2</v>
      </c>
      <c r="L391" t="s">
        <v>30</v>
      </c>
      <c r="M391" t="s">
        <v>26</v>
      </c>
      <c r="N391" t="s">
        <v>612</v>
      </c>
    </row>
    <row r="392" spans="1:14" x14ac:dyDescent="0.25">
      <c r="A392" t="s">
        <v>14</v>
      </c>
      <c r="B392" t="s">
        <v>15</v>
      </c>
      <c r="C392" t="s">
        <v>16</v>
      </c>
      <c r="D392" s="13">
        <v>45443</v>
      </c>
      <c r="E392" t="s">
        <v>205</v>
      </c>
      <c r="F392">
        <v>213303.06</v>
      </c>
      <c r="G392">
        <v>219398.7</v>
      </c>
      <c r="H392">
        <v>860931.38</v>
      </c>
      <c r="I392">
        <v>158944.38</v>
      </c>
      <c r="J392">
        <v>1</v>
      </c>
      <c r="K392">
        <v>1</v>
      </c>
      <c r="L392" t="s">
        <v>30</v>
      </c>
      <c r="M392" t="s">
        <v>105</v>
      </c>
      <c r="N392" t="s">
        <v>612</v>
      </c>
    </row>
    <row r="393" spans="1:14" x14ac:dyDescent="0.25">
      <c r="A393" t="s">
        <v>21</v>
      </c>
      <c r="B393" t="s">
        <v>22</v>
      </c>
      <c r="C393" t="s">
        <v>16</v>
      </c>
      <c r="D393" s="13">
        <v>45443</v>
      </c>
      <c r="E393" t="s">
        <v>205</v>
      </c>
      <c r="F393">
        <v>117443.22</v>
      </c>
      <c r="G393">
        <v>203812.11</v>
      </c>
      <c r="H393">
        <v>372673.05</v>
      </c>
      <c r="I393">
        <v>102123.81</v>
      </c>
      <c r="J393">
        <v>1</v>
      </c>
      <c r="K393">
        <v>2</v>
      </c>
      <c r="L393" t="s">
        <v>30</v>
      </c>
      <c r="M393" t="s">
        <v>43</v>
      </c>
      <c r="N393" t="s">
        <v>612</v>
      </c>
    </row>
    <row r="394" spans="1:14" x14ac:dyDescent="0.25">
      <c r="A394" t="s">
        <v>27</v>
      </c>
      <c r="B394" t="s">
        <v>28</v>
      </c>
      <c r="C394" t="s">
        <v>16</v>
      </c>
      <c r="D394" s="13">
        <v>45443</v>
      </c>
      <c r="E394" t="s">
        <v>205</v>
      </c>
      <c r="F394">
        <v>136944.43</v>
      </c>
      <c r="G394">
        <v>127827.4</v>
      </c>
      <c r="H394">
        <v>610389.25</v>
      </c>
      <c r="I394">
        <v>165949.43</v>
      </c>
      <c r="J394">
        <v>2</v>
      </c>
      <c r="K394">
        <v>4</v>
      </c>
      <c r="L394" t="s">
        <v>30</v>
      </c>
      <c r="M394" t="s">
        <v>113</v>
      </c>
      <c r="N394" t="s">
        <v>612</v>
      </c>
    </row>
    <row r="395" spans="1:14" x14ac:dyDescent="0.25">
      <c r="A395" t="s">
        <v>32</v>
      </c>
      <c r="B395" t="s">
        <v>33</v>
      </c>
      <c r="C395" t="s">
        <v>16</v>
      </c>
      <c r="D395" s="13">
        <v>45443</v>
      </c>
      <c r="E395" t="s">
        <v>205</v>
      </c>
      <c r="F395">
        <v>209053.5</v>
      </c>
      <c r="G395">
        <v>201470.81</v>
      </c>
      <c r="H395">
        <v>961378.36</v>
      </c>
      <c r="I395">
        <v>230481.86</v>
      </c>
      <c r="J395">
        <v>6</v>
      </c>
      <c r="K395">
        <v>5</v>
      </c>
      <c r="L395" t="s">
        <v>30</v>
      </c>
      <c r="M395" t="s">
        <v>43</v>
      </c>
      <c r="N395" t="s">
        <v>612</v>
      </c>
    </row>
    <row r="396" spans="1:14" x14ac:dyDescent="0.25">
      <c r="A396" t="s">
        <v>39</v>
      </c>
      <c r="B396" t="s">
        <v>40</v>
      </c>
      <c r="C396" t="s">
        <v>16</v>
      </c>
      <c r="D396" s="13">
        <v>45443</v>
      </c>
      <c r="E396" t="s">
        <v>205</v>
      </c>
      <c r="F396">
        <v>219834.98</v>
      </c>
      <c r="G396">
        <v>233140.42</v>
      </c>
      <c r="H396">
        <v>885080.51</v>
      </c>
      <c r="I396">
        <v>207207.67999999999</v>
      </c>
      <c r="J396">
        <v>6</v>
      </c>
      <c r="K396">
        <v>4</v>
      </c>
      <c r="L396" t="s">
        <v>112</v>
      </c>
      <c r="M396" t="s">
        <v>113</v>
      </c>
      <c r="N396" t="s">
        <v>612</v>
      </c>
    </row>
    <row r="397" spans="1:14" x14ac:dyDescent="0.25">
      <c r="A397" t="s">
        <v>44</v>
      </c>
      <c r="B397" t="s">
        <v>45</v>
      </c>
      <c r="C397" t="s">
        <v>16</v>
      </c>
      <c r="D397" s="13">
        <v>45443</v>
      </c>
      <c r="E397" t="s">
        <v>205</v>
      </c>
      <c r="F397">
        <v>98721.600000000006</v>
      </c>
      <c r="G397">
        <v>105391.36</v>
      </c>
      <c r="H397">
        <v>8362.43</v>
      </c>
      <c r="I397">
        <v>2295.36</v>
      </c>
      <c r="J397">
        <v>6</v>
      </c>
      <c r="K397">
        <v>8</v>
      </c>
      <c r="L397" t="s">
        <v>30</v>
      </c>
      <c r="M397" t="s">
        <v>611</v>
      </c>
      <c r="N397" t="s">
        <v>613</v>
      </c>
    </row>
    <row r="398" spans="1:14" x14ac:dyDescent="0.25">
      <c r="A398" t="s">
        <v>49</v>
      </c>
      <c r="B398" t="s">
        <v>50</v>
      </c>
      <c r="C398" t="s">
        <v>51</v>
      </c>
      <c r="D398" s="13">
        <v>45443</v>
      </c>
      <c r="E398" t="s">
        <v>205</v>
      </c>
      <c r="F398">
        <v>40032.43</v>
      </c>
      <c r="G398">
        <v>69717.77</v>
      </c>
      <c r="H398">
        <v>112567.58</v>
      </c>
      <c r="I398">
        <v>23955.33</v>
      </c>
      <c r="J398">
        <v>1</v>
      </c>
      <c r="K398">
        <v>1</v>
      </c>
      <c r="L398" t="s">
        <v>30</v>
      </c>
      <c r="M398" t="s">
        <v>611</v>
      </c>
      <c r="N398" t="s">
        <v>612</v>
      </c>
    </row>
    <row r="399" spans="1:14" x14ac:dyDescent="0.25">
      <c r="A399" t="s">
        <v>59</v>
      </c>
      <c r="B399" t="s">
        <v>60</v>
      </c>
      <c r="C399" t="s">
        <v>51</v>
      </c>
      <c r="D399" s="13">
        <v>45443</v>
      </c>
      <c r="E399" t="s">
        <v>205</v>
      </c>
      <c r="F399">
        <v>93967.27</v>
      </c>
      <c r="G399">
        <v>56201.64</v>
      </c>
      <c r="H399">
        <v>260981.53</v>
      </c>
      <c r="I399">
        <v>69174.55</v>
      </c>
      <c r="J399">
        <v>2</v>
      </c>
      <c r="K399">
        <v>7</v>
      </c>
      <c r="L399" t="s">
        <v>30</v>
      </c>
      <c r="M399" t="s">
        <v>611</v>
      </c>
      <c r="N399" t="s">
        <v>612</v>
      </c>
    </row>
    <row r="400" spans="1:14" x14ac:dyDescent="0.25">
      <c r="A400" t="s">
        <v>62</v>
      </c>
      <c r="B400" t="s">
        <v>63</v>
      </c>
      <c r="C400" t="s">
        <v>51</v>
      </c>
      <c r="D400" s="13">
        <v>45443</v>
      </c>
      <c r="E400" t="s">
        <v>205</v>
      </c>
      <c r="F400">
        <v>46459.68</v>
      </c>
      <c r="G400">
        <v>51305.43</v>
      </c>
      <c r="H400">
        <v>231363.55</v>
      </c>
      <c r="I400">
        <v>62606.99</v>
      </c>
      <c r="J400">
        <v>3</v>
      </c>
      <c r="K400">
        <v>1</v>
      </c>
      <c r="L400" t="s">
        <v>30</v>
      </c>
      <c r="M400" t="s">
        <v>31</v>
      </c>
      <c r="N400" t="s">
        <v>612</v>
      </c>
    </row>
    <row r="401" spans="1:14" x14ac:dyDescent="0.25">
      <c r="A401" t="s">
        <v>68</v>
      </c>
      <c r="B401" t="s">
        <v>69</v>
      </c>
      <c r="C401" t="s">
        <v>51</v>
      </c>
      <c r="D401" s="13">
        <v>45443</v>
      </c>
      <c r="E401" t="s">
        <v>205</v>
      </c>
      <c r="F401">
        <v>59734.48</v>
      </c>
      <c r="G401">
        <v>60043.73</v>
      </c>
      <c r="H401">
        <v>281319</v>
      </c>
      <c r="I401">
        <v>63929.56</v>
      </c>
      <c r="J401">
        <v>4</v>
      </c>
      <c r="K401">
        <v>1</v>
      </c>
      <c r="L401" t="s">
        <v>30</v>
      </c>
      <c r="M401" t="s">
        <v>611</v>
      </c>
      <c r="N401" t="s">
        <v>612</v>
      </c>
    </row>
    <row r="402" spans="1:14" x14ac:dyDescent="0.25">
      <c r="A402" t="s">
        <v>74</v>
      </c>
      <c r="B402" t="s">
        <v>75</v>
      </c>
      <c r="C402" t="s">
        <v>51</v>
      </c>
      <c r="D402" s="13">
        <v>45443</v>
      </c>
      <c r="E402" t="s">
        <v>205</v>
      </c>
      <c r="F402">
        <v>85019.71</v>
      </c>
      <c r="G402">
        <v>77288.28</v>
      </c>
      <c r="H402">
        <v>278610.84999999998</v>
      </c>
      <c r="I402">
        <v>54731.27</v>
      </c>
      <c r="J402">
        <v>4</v>
      </c>
      <c r="K402">
        <v>6</v>
      </c>
      <c r="L402" t="s">
        <v>30</v>
      </c>
      <c r="M402" t="s">
        <v>611</v>
      </c>
      <c r="N402" t="s">
        <v>612</v>
      </c>
    </row>
    <row r="403" spans="1:14" x14ac:dyDescent="0.25">
      <c r="A403" t="s">
        <v>78</v>
      </c>
      <c r="B403" t="s">
        <v>79</v>
      </c>
      <c r="C403" t="s">
        <v>137</v>
      </c>
      <c r="D403" s="13">
        <v>45443</v>
      </c>
      <c r="E403" t="s">
        <v>205</v>
      </c>
      <c r="F403">
        <v>33475.78</v>
      </c>
      <c r="G403">
        <v>38091.25</v>
      </c>
      <c r="H403">
        <v>120389.75999999999</v>
      </c>
      <c r="I403">
        <v>30807.439999999999</v>
      </c>
      <c r="J403">
        <v>3</v>
      </c>
      <c r="K403">
        <v>11</v>
      </c>
      <c r="L403" t="s">
        <v>30</v>
      </c>
      <c r="M403" t="s">
        <v>115</v>
      </c>
      <c r="N403" t="s">
        <v>612</v>
      </c>
    </row>
    <row r="404" spans="1:14" x14ac:dyDescent="0.25">
      <c r="A404" t="s">
        <v>82</v>
      </c>
      <c r="B404" t="s">
        <v>83</v>
      </c>
      <c r="C404" t="s">
        <v>137</v>
      </c>
      <c r="D404" s="13">
        <v>45443</v>
      </c>
      <c r="E404" t="s">
        <v>205</v>
      </c>
      <c r="F404">
        <v>34066.71</v>
      </c>
      <c r="G404">
        <v>18000.38</v>
      </c>
      <c r="H404">
        <v>157552.51999999999</v>
      </c>
      <c r="I404">
        <v>44893.22</v>
      </c>
      <c r="J404">
        <v>8</v>
      </c>
      <c r="K404">
        <v>6</v>
      </c>
      <c r="L404" t="s">
        <v>30</v>
      </c>
      <c r="M404" t="s">
        <v>113</v>
      </c>
      <c r="N404" t="s">
        <v>612</v>
      </c>
    </row>
    <row r="405" spans="1:14" x14ac:dyDescent="0.25">
      <c r="A405" t="s">
        <v>84</v>
      </c>
      <c r="B405" t="s">
        <v>85</v>
      </c>
      <c r="C405" t="s">
        <v>137</v>
      </c>
      <c r="D405" s="13">
        <v>45443</v>
      </c>
      <c r="E405" t="s">
        <v>205</v>
      </c>
      <c r="F405">
        <v>16861.23</v>
      </c>
      <c r="G405">
        <v>14268.66</v>
      </c>
      <c r="H405">
        <v>42671.07</v>
      </c>
      <c r="I405">
        <v>11981.64</v>
      </c>
      <c r="J405">
        <v>5</v>
      </c>
      <c r="K405">
        <v>3</v>
      </c>
      <c r="L405" t="s">
        <v>112</v>
      </c>
      <c r="M405" t="s">
        <v>115</v>
      </c>
      <c r="N405" t="s">
        <v>612</v>
      </c>
    </row>
    <row r="406" spans="1:14" x14ac:dyDescent="0.25">
      <c r="A406" t="s">
        <v>90</v>
      </c>
      <c r="B406" t="s">
        <v>91</v>
      </c>
      <c r="C406" t="s">
        <v>137</v>
      </c>
      <c r="D406" s="13">
        <v>45443</v>
      </c>
      <c r="E406" t="s">
        <v>205</v>
      </c>
      <c r="F406">
        <v>21854</v>
      </c>
      <c r="G406">
        <v>23512.11</v>
      </c>
      <c r="H406">
        <v>71638.06</v>
      </c>
      <c r="I406">
        <v>22339.200000000001</v>
      </c>
      <c r="J406">
        <v>4</v>
      </c>
      <c r="K406">
        <v>7</v>
      </c>
      <c r="L406" t="s">
        <v>30</v>
      </c>
      <c r="M406" t="s">
        <v>611</v>
      </c>
      <c r="N406" t="s">
        <v>612</v>
      </c>
    </row>
    <row r="407" spans="1:14" x14ac:dyDescent="0.25">
      <c r="A407" t="s">
        <v>93</v>
      </c>
      <c r="B407" t="s">
        <v>94</v>
      </c>
      <c r="C407" t="s">
        <v>137</v>
      </c>
      <c r="D407" s="13">
        <v>45443</v>
      </c>
      <c r="E407" t="s">
        <v>205</v>
      </c>
      <c r="F407">
        <v>25602.98</v>
      </c>
      <c r="G407">
        <v>14897.9</v>
      </c>
      <c r="H407">
        <v>68385.8</v>
      </c>
      <c r="I407">
        <v>17840.03</v>
      </c>
      <c r="J407">
        <v>9</v>
      </c>
      <c r="K407">
        <v>14</v>
      </c>
      <c r="L407" t="s">
        <v>30</v>
      </c>
      <c r="M407" t="s">
        <v>611</v>
      </c>
      <c r="N407" t="s">
        <v>612</v>
      </c>
    </row>
    <row r="408" spans="1:14" x14ac:dyDescent="0.25">
      <c r="A408" t="s">
        <v>96</v>
      </c>
      <c r="B408" t="s">
        <v>97</v>
      </c>
      <c r="C408" t="s">
        <v>137</v>
      </c>
      <c r="D408" s="13">
        <v>45443</v>
      </c>
      <c r="E408" t="s">
        <v>205</v>
      </c>
      <c r="F408">
        <v>8099.82</v>
      </c>
      <c r="G408">
        <v>6978.1</v>
      </c>
      <c r="H408">
        <v>29696.71</v>
      </c>
      <c r="I408">
        <v>7772.43</v>
      </c>
      <c r="J408">
        <v>7</v>
      </c>
      <c r="K408">
        <v>5</v>
      </c>
      <c r="L408" t="s">
        <v>30</v>
      </c>
      <c r="M408" t="s">
        <v>43</v>
      </c>
      <c r="N408" t="s">
        <v>612</v>
      </c>
    </row>
    <row r="409" spans="1:14" x14ac:dyDescent="0.25">
      <c r="A409" t="s">
        <v>14</v>
      </c>
      <c r="B409" t="s">
        <v>15</v>
      </c>
      <c r="C409" t="s">
        <v>16</v>
      </c>
      <c r="D409" s="13">
        <v>45450</v>
      </c>
      <c r="E409" t="s">
        <v>205</v>
      </c>
      <c r="F409">
        <v>107216</v>
      </c>
      <c r="G409">
        <v>108686.39999999999</v>
      </c>
      <c r="H409">
        <v>96602</v>
      </c>
      <c r="I409">
        <v>2012.8</v>
      </c>
      <c r="J409">
        <v>3</v>
      </c>
      <c r="K409">
        <v>6</v>
      </c>
      <c r="L409" t="s">
        <v>30</v>
      </c>
      <c r="M409" t="s">
        <v>127</v>
      </c>
      <c r="N409" t="s">
        <v>612</v>
      </c>
    </row>
    <row r="410" spans="1:14" x14ac:dyDescent="0.25">
      <c r="A410" t="s">
        <v>21</v>
      </c>
      <c r="B410" t="s">
        <v>22</v>
      </c>
      <c r="C410" t="s">
        <v>16</v>
      </c>
      <c r="D410" s="13">
        <v>45450</v>
      </c>
      <c r="E410" t="s">
        <v>205</v>
      </c>
      <c r="F410">
        <v>83501.490000000005</v>
      </c>
      <c r="G410">
        <v>137432</v>
      </c>
      <c r="H410">
        <v>405224.74</v>
      </c>
      <c r="I410">
        <v>141669.87</v>
      </c>
      <c r="J410">
        <v>4</v>
      </c>
      <c r="K410">
        <v>3</v>
      </c>
      <c r="L410" t="s">
        <v>30</v>
      </c>
      <c r="M410" t="s">
        <v>611</v>
      </c>
      <c r="N410" t="s">
        <v>612</v>
      </c>
    </row>
    <row r="411" spans="1:14" x14ac:dyDescent="0.25">
      <c r="A411" t="s">
        <v>27</v>
      </c>
      <c r="B411" t="s">
        <v>28</v>
      </c>
      <c r="C411" t="s">
        <v>16</v>
      </c>
      <c r="D411" s="13">
        <v>45450</v>
      </c>
      <c r="E411" t="s">
        <v>205</v>
      </c>
      <c r="F411">
        <v>114236.95</v>
      </c>
      <c r="G411">
        <v>105942.35</v>
      </c>
      <c r="H411">
        <v>529612.62</v>
      </c>
      <c r="I411">
        <v>108706.37</v>
      </c>
      <c r="J411">
        <v>2</v>
      </c>
      <c r="K411">
        <v>4</v>
      </c>
      <c r="L411" t="s">
        <v>30</v>
      </c>
      <c r="M411" t="s">
        <v>611</v>
      </c>
      <c r="N411" t="s">
        <v>612</v>
      </c>
    </row>
    <row r="412" spans="1:14" x14ac:dyDescent="0.25">
      <c r="A412" t="s">
        <v>32</v>
      </c>
      <c r="B412" t="s">
        <v>33</v>
      </c>
      <c r="C412" t="s">
        <v>16</v>
      </c>
      <c r="D412" s="13">
        <v>45450</v>
      </c>
      <c r="E412" t="s">
        <v>205</v>
      </c>
      <c r="F412">
        <v>170310.02</v>
      </c>
      <c r="G412">
        <v>170559.58</v>
      </c>
      <c r="H412">
        <v>646706.47</v>
      </c>
      <c r="I412">
        <v>194738.04</v>
      </c>
      <c r="J412">
        <v>5</v>
      </c>
      <c r="K412">
        <v>8</v>
      </c>
      <c r="L412" t="s">
        <v>30</v>
      </c>
      <c r="M412" t="s">
        <v>611</v>
      </c>
      <c r="N412" t="s">
        <v>612</v>
      </c>
    </row>
    <row r="413" spans="1:14" x14ac:dyDescent="0.25">
      <c r="A413" t="s">
        <v>39</v>
      </c>
      <c r="B413" t="s">
        <v>40</v>
      </c>
      <c r="C413" t="s">
        <v>16</v>
      </c>
      <c r="D413" s="13">
        <v>45450</v>
      </c>
      <c r="E413" t="s">
        <v>205</v>
      </c>
      <c r="F413">
        <v>135426</v>
      </c>
      <c r="G413">
        <v>131222.35</v>
      </c>
      <c r="H413">
        <v>532011</v>
      </c>
      <c r="I413">
        <v>129596.95</v>
      </c>
      <c r="J413">
        <v>5</v>
      </c>
      <c r="K413">
        <v>7</v>
      </c>
      <c r="L413" t="s">
        <v>30</v>
      </c>
      <c r="M413" t="s">
        <v>611</v>
      </c>
      <c r="N413" t="s">
        <v>612</v>
      </c>
    </row>
    <row r="414" spans="1:14" x14ac:dyDescent="0.25">
      <c r="A414" t="s">
        <v>44</v>
      </c>
      <c r="B414" t="s">
        <v>45</v>
      </c>
      <c r="C414" t="s">
        <v>16</v>
      </c>
      <c r="D414" s="13">
        <v>45450</v>
      </c>
      <c r="E414" t="s">
        <v>205</v>
      </c>
      <c r="F414">
        <v>131451.67000000001</v>
      </c>
      <c r="G414">
        <v>131400</v>
      </c>
      <c r="H414">
        <v>454287</v>
      </c>
      <c r="I414">
        <v>99827.1</v>
      </c>
      <c r="J414">
        <v>6</v>
      </c>
      <c r="K414">
        <v>5</v>
      </c>
      <c r="L414" t="s">
        <v>30</v>
      </c>
      <c r="M414" t="s">
        <v>101</v>
      </c>
      <c r="N414" t="s">
        <v>612</v>
      </c>
    </row>
    <row r="415" spans="1:14" x14ac:dyDescent="0.25">
      <c r="A415" t="s">
        <v>49</v>
      </c>
      <c r="B415" t="s">
        <v>50</v>
      </c>
      <c r="C415" t="s">
        <v>51</v>
      </c>
      <c r="D415" s="13">
        <v>45450</v>
      </c>
      <c r="E415" t="s">
        <v>205</v>
      </c>
      <c r="F415">
        <v>32542.85</v>
      </c>
      <c r="G415">
        <v>59708.66</v>
      </c>
      <c r="H415">
        <v>138766.19</v>
      </c>
      <c r="I415">
        <v>48530.54</v>
      </c>
      <c r="J415">
        <v>6</v>
      </c>
      <c r="K415">
        <v>4</v>
      </c>
      <c r="L415" t="s">
        <v>30</v>
      </c>
      <c r="M415" t="s">
        <v>113</v>
      </c>
      <c r="N415" t="s">
        <v>612</v>
      </c>
    </row>
    <row r="416" spans="1:14" x14ac:dyDescent="0.25">
      <c r="A416" t="s">
        <v>55</v>
      </c>
      <c r="B416" t="s">
        <v>56</v>
      </c>
      <c r="C416" t="s">
        <v>51</v>
      </c>
      <c r="D416" s="13">
        <v>45450</v>
      </c>
      <c r="E416" t="s">
        <v>205</v>
      </c>
      <c r="F416">
        <v>60758.82</v>
      </c>
      <c r="G416">
        <v>65519.16</v>
      </c>
      <c r="H416">
        <v>283358.78999999998</v>
      </c>
      <c r="I416">
        <v>85848.39</v>
      </c>
      <c r="J416">
        <v>2</v>
      </c>
      <c r="K416">
        <v>3</v>
      </c>
      <c r="L416" t="s">
        <v>30</v>
      </c>
      <c r="M416" t="s">
        <v>611</v>
      </c>
      <c r="N416" t="s">
        <v>612</v>
      </c>
    </row>
    <row r="417" spans="1:14" x14ac:dyDescent="0.25">
      <c r="A417" t="s">
        <v>59</v>
      </c>
      <c r="B417" t="s">
        <v>60</v>
      </c>
      <c r="C417" t="s">
        <v>51</v>
      </c>
      <c r="D417" s="13">
        <v>45450</v>
      </c>
      <c r="E417" t="s">
        <v>205</v>
      </c>
      <c r="F417">
        <v>76233.539999999994</v>
      </c>
      <c r="G417">
        <v>41328.120000000003</v>
      </c>
      <c r="H417">
        <v>248820.92</v>
      </c>
      <c r="I417">
        <v>65929.09</v>
      </c>
      <c r="J417">
        <v>6</v>
      </c>
      <c r="K417">
        <v>3</v>
      </c>
      <c r="L417" t="s">
        <v>30</v>
      </c>
      <c r="M417" t="s">
        <v>113</v>
      </c>
      <c r="N417" t="s">
        <v>612</v>
      </c>
    </row>
    <row r="418" spans="1:14" x14ac:dyDescent="0.25">
      <c r="A418" t="s">
        <v>62</v>
      </c>
      <c r="B418" t="s">
        <v>63</v>
      </c>
      <c r="C418" t="s">
        <v>51</v>
      </c>
      <c r="D418" s="13">
        <v>45450</v>
      </c>
      <c r="E418" t="s">
        <v>205</v>
      </c>
      <c r="F418">
        <v>31932.54</v>
      </c>
      <c r="G418">
        <v>28475.54</v>
      </c>
      <c r="H418">
        <v>125190.79</v>
      </c>
      <c r="I418">
        <v>41981.21</v>
      </c>
      <c r="J418">
        <v>5</v>
      </c>
      <c r="K418">
        <v>6</v>
      </c>
      <c r="L418" t="s">
        <v>30</v>
      </c>
      <c r="M418" t="s">
        <v>73</v>
      </c>
      <c r="N418" t="s">
        <v>612</v>
      </c>
    </row>
    <row r="419" spans="1:14" x14ac:dyDescent="0.25">
      <c r="A419" t="s">
        <v>68</v>
      </c>
      <c r="B419" t="s">
        <v>69</v>
      </c>
      <c r="C419" t="s">
        <v>51</v>
      </c>
      <c r="D419" s="13">
        <v>45450</v>
      </c>
      <c r="E419" t="s">
        <v>205</v>
      </c>
      <c r="F419">
        <v>636174</v>
      </c>
      <c r="G419">
        <v>54305.84</v>
      </c>
      <c r="H419">
        <v>162174.78</v>
      </c>
      <c r="I419">
        <v>54316.99</v>
      </c>
      <c r="J419">
        <v>4</v>
      </c>
      <c r="K419">
        <v>8</v>
      </c>
      <c r="L419" t="s">
        <v>30</v>
      </c>
      <c r="M419" t="s">
        <v>611</v>
      </c>
      <c r="N419" t="s">
        <v>613</v>
      </c>
    </row>
    <row r="420" spans="1:14" x14ac:dyDescent="0.25">
      <c r="A420" t="s">
        <v>74</v>
      </c>
      <c r="B420" t="s">
        <v>75</v>
      </c>
      <c r="C420" t="s">
        <v>51</v>
      </c>
      <c r="D420" s="13">
        <v>45450</v>
      </c>
      <c r="E420" t="s">
        <v>205</v>
      </c>
      <c r="F420">
        <v>74588.570000000007</v>
      </c>
      <c r="G420">
        <v>72104.61</v>
      </c>
      <c r="H420">
        <v>2710700</v>
      </c>
      <c r="I420">
        <v>53407.01</v>
      </c>
      <c r="J420">
        <v>6</v>
      </c>
      <c r="K420">
        <v>4</v>
      </c>
      <c r="L420" t="s">
        <v>30</v>
      </c>
      <c r="M420" t="s">
        <v>611</v>
      </c>
      <c r="N420" t="s">
        <v>612</v>
      </c>
    </row>
    <row r="421" spans="1:14" x14ac:dyDescent="0.25">
      <c r="A421" t="s">
        <v>78</v>
      </c>
      <c r="B421" t="s">
        <v>79</v>
      </c>
      <c r="C421" t="s">
        <v>137</v>
      </c>
      <c r="D421" s="13">
        <v>45450</v>
      </c>
      <c r="E421" t="s">
        <v>205</v>
      </c>
      <c r="F421">
        <v>14664.68</v>
      </c>
      <c r="G421">
        <v>13410.06</v>
      </c>
      <c r="H421">
        <v>68896.13</v>
      </c>
      <c r="I421">
        <v>19149.169999999998</v>
      </c>
      <c r="J421">
        <v>3</v>
      </c>
      <c r="K421">
        <v>11</v>
      </c>
      <c r="L421" t="s">
        <v>30</v>
      </c>
      <c r="M421" t="s">
        <v>611</v>
      </c>
      <c r="N421" t="s">
        <v>612</v>
      </c>
    </row>
    <row r="422" spans="1:14" x14ac:dyDescent="0.25">
      <c r="A422" t="s">
        <v>82</v>
      </c>
      <c r="B422" t="s">
        <v>83</v>
      </c>
      <c r="C422" t="s">
        <v>137</v>
      </c>
      <c r="D422" s="13">
        <v>45450</v>
      </c>
      <c r="E422" t="s">
        <v>205</v>
      </c>
      <c r="F422">
        <v>44223.5</v>
      </c>
      <c r="G422">
        <v>22852.61</v>
      </c>
      <c r="H422">
        <v>137059.16</v>
      </c>
      <c r="I422">
        <v>31049.65</v>
      </c>
      <c r="J422">
        <v>12</v>
      </c>
      <c r="K422">
        <v>2</v>
      </c>
      <c r="L422" t="s">
        <v>30</v>
      </c>
      <c r="M422" t="s">
        <v>611</v>
      </c>
      <c r="N422" t="s">
        <v>612</v>
      </c>
    </row>
    <row r="423" spans="1:14" x14ac:dyDescent="0.25">
      <c r="A423" t="s">
        <v>84</v>
      </c>
      <c r="B423" t="s">
        <v>85</v>
      </c>
      <c r="C423" t="s">
        <v>137</v>
      </c>
      <c r="D423" s="13">
        <v>45450</v>
      </c>
      <c r="E423" t="s">
        <v>205</v>
      </c>
      <c r="F423">
        <v>16802</v>
      </c>
      <c r="G423">
        <v>16390.16</v>
      </c>
      <c r="H423">
        <v>929.9</v>
      </c>
      <c r="I423">
        <v>268.38</v>
      </c>
      <c r="J423">
        <v>12</v>
      </c>
      <c r="K423">
        <v>6</v>
      </c>
      <c r="L423" t="s">
        <v>112</v>
      </c>
      <c r="M423" t="s">
        <v>611</v>
      </c>
      <c r="N423" t="s">
        <v>613</v>
      </c>
    </row>
    <row r="424" spans="1:14" x14ac:dyDescent="0.25">
      <c r="A424" t="s">
        <v>87</v>
      </c>
      <c r="B424" t="s">
        <v>88</v>
      </c>
      <c r="C424" t="s">
        <v>137</v>
      </c>
      <c r="D424" s="13">
        <v>45450</v>
      </c>
      <c r="E424" t="s">
        <v>205</v>
      </c>
      <c r="F424">
        <v>9842.4</v>
      </c>
      <c r="G424">
        <v>10080.73</v>
      </c>
      <c r="H424">
        <v>42164.4</v>
      </c>
      <c r="I424">
        <v>10964.17</v>
      </c>
      <c r="J424">
        <v>6</v>
      </c>
      <c r="K424">
        <v>5</v>
      </c>
      <c r="L424" t="s">
        <v>30</v>
      </c>
      <c r="M424" t="s">
        <v>31</v>
      </c>
      <c r="N424" t="s">
        <v>612</v>
      </c>
    </row>
    <row r="425" spans="1:14" x14ac:dyDescent="0.25">
      <c r="A425" t="s">
        <v>90</v>
      </c>
      <c r="B425" t="s">
        <v>91</v>
      </c>
      <c r="C425" t="s">
        <v>137</v>
      </c>
      <c r="D425" s="13">
        <v>45450</v>
      </c>
      <c r="E425" t="s">
        <v>205</v>
      </c>
      <c r="F425">
        <v>17668.349999999999</v>
      </c>
      <c r="G425">
        <v>15165.38</v>
      </c>
      <c r="H425">
        <v>83601</v>
      </c>
      <c r="I425">
        <v>21330.959999999999</v>
      </c>
      <c r="J425">
        <v>2</v>
      </c>
      <c r="K425">
        <v>2</v>
      </c>
      <c r="L425" t="s">
        <v>30</v>
      </c>
      <c r="M425" t="s">
        <v>101</v>
      </c>
      <c r="N425" t="s">
        <v>612</v>
      </c>
    </row>
    <row r="426" spans="1:14" x14ac:dyDescent="0.25">
      <c r="A426" t="s">
        <v>93</v>
      </c>
      <c r="B426" t="s">
        <v>94</v>
      </c>
      <c r="C426" t="s">
        <v>137</v>
      </c>
      <c r="D426" s="13">
        <v>45450</v>
      </c>
      <c r="E426" t="s">
        <v>205</v>
      </c>
      <c r="F426">
        <v>23715.58</v>
      </c>
      <c r="G426">
        <v>12768.08</v>
      </c>
      <c r="H426">
        <v>79276.240000000005</v>
      </c>
      <c r="I426">
        <v>23285.13</v>
      </c>
      <c r="J426">
        <v>5</v>
      </c>
      <c r="K426">
        <v>2</v>
      </c>
      <c r="L426" t="s">
        <v>112</v>
      </c>
      <c r="M426" t="s">
        <v>611</v>
      </c>
      <c r="N426" t="s">
        <v>612</v>
      </c>
    </row>
    <row r="427" spans="1:14" x14ac:dyDescent="0.25">
      <c r="A427" t="s">
        <v>96</v>
      </c>
      <c r="B427" t="s">
        <v>97</v>
      </c>
      <c r="C427" t="s">
        <v>137</v>
      </c>
      <c r="D427" s="13">
        <v>45450</v>
      </c>
      <c r="E427" t="s">
        <v>205</v>
      </c>
      <c r="F427">
        <v>22625.97</v>
      </c>
      <c r="G427">
        <v>27591.5</v>
      </c>
      <c r="H427">
        <v>69711.08</v>
      </c>
      <c r="I427">
        <v>16380.19</v>
      </c>
      <c r="J427">
        <v>2</v>
      </c>
      <c r="K427">
        <v>3</v>
      </c>
      <c r="L427" t="s">
        <v>30</v>
      </c>
      <c r="M427" t="s">
        <v>26</v>
      </c>
      <c r="N427" t="s">
        <v>612</v>
      </c>
    </row>
    <row r="428" spans="1:14" x14ac:dyDescent="0.25">
      <c r="A428" t="s">
        <v>14</v>
      </c>
      <c r="B428" t="s">
        <v>15</v>
      </c>
      <c r="C428" t="s">
        <v>16</v>
      </c>
      <c r="D428" s="13">
        <v>45457</v>
      </c>
      <c r="E428" t="s">
        <v>205</v>
      </c>
      <c r="F428">
        <v>137553.56</v>
      </c>
      <c r="G428">
        <v>139908.87</v>
      </c>
      <c r="H428">
        <v>681957</v>
      </c>
      <c r="I428">
        <v>184913.23</v>
      </c>
      <c r="J428">
        <v>5</v>
      </c>
      <c r="K428">
        <v>8</v>
      </c>
      <c r="L428" t="s">
        <v>30</v>
      </c>
      <c r="M428" t="s">
        <v>611</v>
      </c>
      <c r="N428" t="s">
        <v>612</v>
      </c>
    </row>
    <row r="429" spans="1:14" x14ac:dyDescent="0.25">
      <c r="A429" t="s">
        <v>21</v>
      </c>
      <c r="B429" t="s">
        <v>22</v>
      </c>
      <c r="C429" t="s">
        <v>16</v>
      </c>
      <c r="D429" s="13">
        <v>45457</v>
      </c>
      <c r="E429" t="s">
        <v>205</v>
      </c>
      <c r="F429">
        <v>138327.67000000001</v>
      </c>
      <c r="G429">
        <v>231659.27</v>
      </c>
      <c r="H429">
        <v>478050.53</v>
      </c>
      <c r="I429">
        <v>104937.99</v>
      </c>
      <c r="J429">
        <v>5</v>
      </c>
      <c r="K429">
        <v>8</v>
      </c>
      <c r="L429" t="s">
        <v>30</v>
      </c>
      <c r="M429" t="s">
        <v>26</v>
      </c>
      <c r="N429" t="s">
        <v>612</v>
      </c>
    </row>
    <row r="430" spans="1:14" x14ac:dyDescent="0.25">
      <c r="A430" t="s">
        <v>27</v>
      </c>
      <c r="B430" t="s">
        <v>28</v>
      </c>
      <c r="C430" t="s">
        <v>16</v>
      </c>
      <c r="D430" s="13">
        <v>45457</v>
      </c>
      <c r="E430" t="s">
        <v>205</v>
      </c>
      <c r="F430">
        <v>132433.31</v>
      </c>
      <c r="G430">
        <v>130709.47</v>
      </c>
      <c r="H430">
        <v>455487</v>
      </c>
      <c r="I430">
        <v>100421.65</v>
      </c>
      <c r="J430">
        <v>6</v>
      </c>
      <c r="K430">
        <v>3</v>
      </c>
      <c r="L430" t="s">
        <v>30</v>
      </c>
      <c r="M430" t="s">
        <v>73</v>
      </c>
      <c r="N430" t="s">
        <v>612</v>
      </c>
    </row>
    <row r="431" spans="1:14" x14ac:dyDescent="0.25">
      <c r="A431" t="s">
        <v>32</v>
      </c>
      <c r="B431" t="s">
        <v>33</v>
      </c>
      <c r="C431" t="s">
        <v>16</v>
      </c>
      <c r="D431" s="13">
        <v>45457</v>
      </c>
      <c r="E431" t="s">
        <v>205</v>
      </c>
      <c r="F431">
        <v>112061.4</v>
      </c>
      <c r="G431">
        <v>113731.55</v>
      </c>
      <c r="H431">
        <v>3481020</v>
      </c>
      <c r="I431">
        <v>116283.17</v>
      </c>
      <c r="J431">
        <v>6</v>
      </c>
      <c r="K431">
        <v>6</v>
      </c>
      <c r="L431" t="s">
        <v>112</v>
      </c>
      <c r="M431" t="s">
        <v>115</v>
      </c>
      <c r="N431" t="s">
        <v>612</v>
      </c>
    </row>
    <row r="432" spans="1:14" x14ac:dyDescent="0.25">
      <c r="A432" t="s">
        <v>39</v>
      </c>
      <c r="B432" t="s">
        <v>40</v>
      </c>
      <c r="C432" t="s">
        <v>16</v>
      </c>
      <c r="D432" s="13">
        <v>45457</v>
      </c>
      <c r="E432" t="s">
        <v>205</v>
      </c>
      <c r="F432">
        <v>99814.48</v>
      </c>
      <c r="G432">
        <v>97925</v>
      </c>
      <c r="H432">
        <v>292874.61</v>
      </c>
      <c r="I432">
        <v>92311.039999999994</v>
      </c>
      <c r="J432">
        <v>2</v>
      </c>
      <c r="K432">
        <v>2</v>
      </c>
      <c r="L432" t="s">
        <v>30</v>
      </c>
      <c r="M432" t="s">
        <v>611</v>
      </c>
      <c r="N432" t="s">
        <v>612</v>
      </c>
    </row>
    <row r="433" spans="1:14" x14ac:dyDescent="0.25">
      <c r="A433" t="s">
        <v>44</v>
      </c>
      <c r="B433" t="s">
        <v>45</v>
      </c>
      <c r="C433" t="s">
        <v>16</v>
      </c>
      <c r="D433" s="13">
        <v>45457</v>
      </c>
      <c r="E433" t="s">
        <v>205</v>
      </c>
      <c r="F433">
        <v>168984</v>
      </c>
      <c r="G433">
        <v>166517.20000000001</v>
      </c>
      <c r="H433">
        <v>456264.97</v>
      </c>
      <c r="I433">
        <v>113017.55</v>
      </c>
      <c r="J433">
        <v>2</v>
      </c>
      <c r="K433">
        <v>8</v>
      </c>
      <c r="L433" t="s">
        <v>30</v>
      </c>
      <c r="M433" t="s">
        <v>611</v>
      </c>
      <c r="N433" t="s">
        <v>612</v>
      </c>
    </row>
    <row r="434" spans="1:14" x14ac:dyDescent="0.25">
      <c r="A434" t="s">
        <v>49</v>
      </c>
      <c r="B434" t="s">
        <v>50</v>
      </c>
      <c r="C434" t="s">
        <v>51</v>
      </c>
      <c r="D434" s="13">
        <v>45457</v>
      </c>
      <c r="E434" t="s">
        <v>205</v>
      </c>
      <c r="F434">
        <v>48133.56</v>
      </c>
      <c r="G434">
        <v>78703.460000000006</v>
      </c>
      <c r="H434">
        <v>165476.76999999999</v>
      </c>
      <c r="I434">
        <v>31809.56</v>
      </c>
      <c r="J434">
        <v>2</v>
      </c>
      <c r="K434">
        <v>5</v>
      </c>
      <c r="L434" t="s">
        <v>30</v>
      </c>
      <c r="M434" t="s">
        <v>611</v>
      </c>
      <c r="N434" t="s">
        <v>612</v>
      </c>
    </row>
    <row r="435" spans="1:14" x14ac:dyDescent="0.25">
      <c r="A435" t="s">
        <v>55</v>
      </c>
      <c r="B435" t="s">
        <v>56</v>
      </c>
      <c r="C435" t="s">
        <v>51</v>
      </c>
      <c r="D435" s="13">
        <v>45457</v>
      </c>
      <c r="E435" t="s">
        <v>205</v>
      </c>
      <c r="F435">
        <v>52388.69</v>
      </c>
      <c r="G435">
        <v>52323.01</v>
      </c>
      <c r="H435">
        <v>12275.75</v>
      </c>
      <c r="I435">
        <v>3012.72</v>
      </c>
      <c r="J435">
        <v>5</v>
      </c>
      <c r="K435">
        <v>2</v>
      </c>
      <c r="L435" t="s">
        <v>30</v>
      </c>
      <c r="M435" t="s">
        <v>105</v>
      </c>
      <c r="N435" t="s">
        <v>613</v>
      </c>
    </row>
    <row r="436" spans="1:14" x14ac:dyDescent="0.25">
      <c r="A436" t="s">
        <v>59</v>
      </c>
      <c r="B436" t="s">
        <v>60</v>
      </c>
      <c r="C436" t="s">
        <v>51</v>
      </c>
      <c r="D436" s="13">
        <v>45457</v>
      </c>
      <c r="E436" t="s">
        <v>205</v>
      </c>
      <c r="F436">
        <v>43715.08</v>
      </c>
      <c r="G436">
        <v>23665.919999999998</v>
      </c>
      <c r="H436">
        <v>137847.95000000001</v>
      </c>
      <c r="I436">
        <v>40772.839999999997</v>
      </c>
      <c r="J436">
        <v>3</v>
      </c>
      <c r="K436">
        <v>3</v>
      </c>
      <c r="L436" t="s">
        <v>30</v>
      </c>
      <c r="M436" t="s">
        <v>26</v>
      </c>
      <c r="N436" t="s">
        <v>612</v>
      </c>
    </row>
    <row r="437" spans="1:14" x14ac:dyDescent="0.25">
      <c r="A437" t="s">
        <v>62</v>
      </c>
      <c r="B437" t="s">
        <v>63</v>
      </c>
      <c r="C437" t="s">
        <v>51</v>
      </c>
      <c r="D437" s="13">
        <v>45457</v>
      </c>
      <c r="E437" t="s">
        <v>205</v>
      </c>
      <c r="F437">
        <v>41329.4</v>
      </c>
      <c r="G437">
        <v>40947.24</v>
      </c>
      <c r="H437">
        <v>129451.03</v>
      </c>
      <c r="I437">
        <v>44596.68</v>
      </c>
      <c r="J437">
        <v>6</v>
      </c>
      <c r="K437">
        <v>7</v>
      </c>
      <c r="L437" t="s">
        <v>112</v>
      </c>
      <c r="M437" t="s">
        <v>101</v>
      </c>
      <c r="N437" t="s">
        <v>612</v>
      </c>
    </row>
    <row r="438" spans="1:14" x14ac:dyDescent="0.25">
      <c r="A438" t="s">
        <v>66</v>
      </c>
      <c r="B438" t="s">
        <v>67</v>
      </c>
      <c r="C438" t="s">
        <v>51</v>
      </c>
      <c r="D438" s="13">
        <v>45457</v>
      </c>
      <c r="E438" t="s">
        <v>205</v>
      </c>
      <c r="F438">
        <v>53878.21</v>
      </c>
      <c r="G438">
        <v>52637.51</v>
      </c>
      <c r="H438">
        <v>3446.5</v>
      </c>
      <c r="I438">
        <v>1028.3399999999999</v>
      </c>
      <c r="J438">
        <v>5</v>
      </c>
      <c r="K438">
        <v>3</v>
      </c>
      <c r="L438" t="s">
        <v>30</v>
      </c>
      <c r="M438" t="s">
        <v>611</v>
      </c>
      <c r="N438" t="s">
        <v>613</v>
      </c>
    </row>
    <row r="439" spans="1:14" x14ac:dyDescent="0.25">
      <c r="A439" t="s">
        <v>68</v>
      </c>
      <c r="B439" t="s">
        <v>69</v>
      </c>
      <c r="C439" t="s">
        <v>51</v>
      </c>
      <c r="D439" s="13">
        <v>45457</v>
      </c>
      <c r="E439" t="s">
        <v>205</v>
      </c>
      <c r="F439">
        <v>42754.400000000001</v>
      </c>
      <c r="G439">
        <v>41220.07</v>
      </c>
      <c r="H439">
        <v>1793375</v>
      </c>
      <c r="I439">
        <v>67120.960000000006</v>
      </c>
      <c r="J439">
        <v>4</v>
      </c>
      <c r="K439">
        <v>3</v>
      </c>
      <c r="L439" t="s">
        <v>30</v>
      </c>
      <c r="M439" t="s">
        <v>127</v>
      </c>
      <c r="N439" t="s">
        <v>612</v>
      </c>
    </row>
    <row r="440" spans="1:14" x14ac:dyDescent="0.25">
      <c r="A440" t="s">
        <v>78</v>
      </c>
      <c r="B440" t="s">
        <v>79</v>
      </c>
      <c r="C440" t="s">
        <v>137</v>
      </c>
      <c r="D440" s="13">
        <v>45457</v>
      </c>
      <c r="E440" t="s">
        <v>205</v>
      </c>
      <c r="F440">
        <v>33790.769999999997</v>
      </c>
      <c r="G440">
        <v>34908.04</v>
      </c>
      <c r="H440">
        <v>167907.93</v>
      </c>
      <c r="I440">
        <v>45133.13</v>
      </c>
      <c r="J440">
        <v>2</v>
      </c>
      <c r="K440">
        <v>14</v>
      </c>
      <c r="L440" t="s">
        <v>30</v>
      </c>
      <c r="M440" t="s">
        <v>105</v>
      </c>
      <c r="N440" t="s">
        <v>612</v>
      </c>
    </row>
    <row r="441" spans="1:14" x14ac:dyDescent="0.25">
      <c r="A441" t="s">
        <v>82</v>
      </c>
      <c r="B441" t="s">
        <v>83</v>
      </c>
      <c r="C441" t="s">
        <v>137</v>
      </c>
      <c r="D441" s="13">
        <v>45457</v>
      </c>
      <c r="E441" t="s">
        <v>205</v>
      </c>
      <c r="F441">
        <v>33892.83</v>
      </c>
      <c r="G441">
        <v>18073.52</v>
      </c>
      <c r="H441">
        <v>7595.66</v>
      </c>
      <c r="I441">
        <v>1886.06</v>
      </c>
      <c r="J441">
        <v>4</v>
      </c>
      <c r="K441">
        <v>7</v>
      </c>
      <c r="L441" t="s">
        <v>30</v>
      </c>
      <c r="M441" t="s">
        <v>101</v>
      </c>
      <c r="N441" t="s">
        <v>613</v>
      </c>
    </row>
    <row r="442" spans="1:14" x14ac:dyDescent="0.25">
      <c r="A442" t="s">
        <v>87</v>
      </c>
      <c r="B442" t="s">
        <v>88</v>
      </c>
      <c r="C442" t="s">
        <v>137</v>
      </c>
      <c r="D442" s="13">
        <v>45457</v>
      </c>
      <c r="E442" t="s">
        <v>205</v>
      </c>
      <c r="F442">
        <v>33432.32</v>
      </c>
      <c r="G442">
        <v>32243.35</v>
      </c>
      <c r="H442">
        <v>7071.32</v>
      </c>
      <c r="I442">
        <v>1664.16</v>
      </c>
      <c r="J442">
        <v>9</v>
      </c>
      <c r="K442">
        <v>12</v>
      </c>
      <c r="L442" t="s">
        <v>30</v>
      </c>
      <c r="M442" t="s">
        <v>127</v>
      </c>
      <c r="N442" t="s">
        <v>613</v>
      </c>
    </row>
    <row r="443" spans="1:14" x14ac:dyDescent="0.25">
      <c r="A443" t="s">
        <v>90</v>
      </c>
      <c r="B443" t="s">
        <v>91</v>
      </c>
      <c r="C443" t="s">
        <v>137</v>
      </c>
      <c r="D443" s="13">
        <v>45457</v>
      </c>
      <c r="E443" t="s">
        <v>205</v>
      </c>
      <c r="F443">
        <v>15934.3</v>
      </c>
      <c r="G443">
        <v>14962.55</v>
      </c>
      <c r="H443">
        <v>74487.23</v>
      </c>
      <c r="I443">
        <v>23346.27</v>
      </c>
      <c r="J443">
        <v>10</v>
      </c>
      <c r="K443">
        <v>4</v>
      </c>
      <c r="L443" t="s">
        <v>30</v>
      </c>
      <c r="M443" t="s">
        <v>611</v>
      </c>
      <c r="N443" t="s">
        <v>612</v>
      </c>
    </row>
    <row r="444" spans="1:14" x14ac:dyDescent="0.25">
      <c r="A444" t="s">
        <v>93</v>
      </c>
      <c r="B444" t="s">
        <v>94</v>
      </c>
      <c r="C444" t="s">
        <v>137</v>
      </c>
      <c r="D444" s="13">
        <v>45457</v>
      </c>
      <c r="E444" t="s">
        <v>205</v>
      </c>
      <c r="F444">
        <v>18733.39</v>
      </c>
      <c r="G444">
        <v>9073.74</v>
      </c>
      <c r="H444">
        <v>4417.3500000000004</v>
      </c>
      <c r="I444">
        <v>1040.31</v>
      </c>
      <c r="J444">
        <v>8</v>
      </c>
      <c r="K444">
        <v>8</v>
      </c>
      <c r="L444" t="s">
        <v>30</v>
      </c>
      <c r="M444" t="s">
        <v>611</v>
      </c>
      <c r="N444" t="s">
        <v>613</v>
      </c>
    </row>
    <row r="445" spans="1:14" x14ac:dyDescent="0.25">
      <c r="A445" t="s">
        <v>96</v>
      </c>
      <c r="B445" t="s">
        <v>97</v>
      </c>
      <c r="C445" t="s">
        <v>137</v>
      </c>
      <c r="D445" s="13">
        <v>45457</v>
      </c>
      <c r="E445" t="s">
        <v>205</v>
      </c>
      <c r="F445">
        <v>26678.18</v>
      </c>
      <c r="G445">
        <v>28662.720000000001</v>
      </c>
      <c r="H445">
        <v>117806.68</v>
      </c>
      <c r="I445">
        <v>34102.410000000003</v>
      </c>
      <c r="J445">
        <v>8</v>
      </c>
      <c r="K445">
        <v>11</v>
      </c>
      <c r="L445" t="s">
        <v>112</v>
      </c>
      <c r="M445" t="s">
        <v>127</v>
      </c>
      <c r="N445" t="s">
        <v>612</v>
      </c>
    </row>
    <row r="446" spans="1:14" x14ac:dyDescent="0.25">
      <c r="A446" t="s">
        <v>14</v>
      </c>
      <c r="B446" t="s">
        <v>15</v>
      </c>
      <c r="C446" t="s">
        <v>16</v>
      </c>
      <c r="D446" s="13">
        <v>45464</v>
      </c>
      <c r="E446" t="s">
        <v>205</v>
      </c>
      <c r="F446">
        <v>95593.55</v>
      </c>
      <c r="G446">
        <v>94616.13</v>
      </c>
      <c r="H446">
        <v>416935.52</v>
      </c>
      <c r="I446">
        <v>101113.24</v>
      </c>
      <c r="J446">
        <v>3</v>
      </c>
      <c r="K446">
        <v>4</v>
      </c>
      <c r="L446" t="s">
        <v>112</v>
      </c>
      <c r="M446" t="s">
        <v>611</v>
      </c>
      <c r="N446" t="s">
        <v>612</v>
      </c>
    </row>
    <row r="447" spans="1:14" x14ac:dyDescent="0.25">
      <c r="A447" t="s">
        <v>21</v>
      </c>
      <c r="B447" t="s">
        <v>22</v>
      </c>
      <c r="C447" t="s">
        <v>16</v>
      </c>
      <c r="D447" s="13">
        <v>45464</v>
      </c>
      <c r="E447" t="s">
        <v>205</v>
      </c>
      <c r="F447">
        <v>154611.26999999999</v>
      </c>
      <c r="G447">
        <v>271575.28999999998</v>
      </c>
      <c r="H447">
        <v>539327.55000000005</v>
      </c>
      <c r="I447">
        <v>139309.64000000001</v>
      </c>
      <c r="J447">
        <v>2</v>
      </c>
      <c r="K447">
        <v>2</v>
      </c>
      <c r="L447" t="s">
        <v>30</v>
      </c>
      <c r="M447" t="s">
        <v>115</v>
      </c>
      <c r="N447" t="s">
        <v>612</v>
      </c>
    </row>
    <row r="448" spans="1:14" x14ac:dyDescent="0.25">
      <c r="A448" t="s">
        <v>27</v>
      </c>
      <c r="B448" t="s">
        <v>28</v>
      </c>
      <c r="C448" t="s">
        <v>16</v>
      </c>
      <c r="D448" s="13">
        <v>45464</v>
      </c>
      <c r="E448" t="s">
        <v>205</v>
      </c>
      <c r="F448">
        <v>123244.8</v>
      </c>
      <c r="G448">
        <v>127112.4</v>
      </c>
      <c r="H448">
        <v>392366.01</v>
      </c>
      <c r="I448">
        <v>108911.09</v>
      </c>
      <c r="J448">
        <v>6</v>
      </c>
      <c r="K448">
        <v>2</v>
      </c>
      <c r="L448" t="s">
        <v>30</v>
      </c>
      <c r="M448" t="s">
        <v>105</v>
      </c>
      <c r="N448" t="s">
        <v>612</v>
      </c>
    </row>
    <row r="449" spans="1:14" x14ac:dyDescent="0.25">
      <c r="A449" t="s">
        <v>32</v>
      </c>
      <c r="B449" t="s">
        <v>33</v>
      </c>
      <c r="C449" t="s">
        <v>16</v>
      </c>
      <c r="D449" s="13">
        <v>45464</v>
      </c>
      <c r="E449" t="s">
        <v>205</v>
      </c>
      <c r="F449">
        <v>87359.28</v>
      </c>
      <c r="G449">
        <v>89402.41</v>
      </c>
      <c r="H449">
        <v>405517.16</v>
      </c>
      <c r="I449">
        <v>93612.54</v>
      </c>
      <c r="J449">
        <v>6</v>
      </c>
      <c r="K449">
        <v>3</v>
      </c>
      <c r="L449" t="s">
        <v>112</v>
      </c>
      <c r="M449" t="s">
        <v>73</v>
      </c>
      <c r="N449" t="s">
        <v>612</v>
      </c>
    </row>
    <row r="450" spans="1:14" x14ac:dyDescent="0.25">
      <c r="A450" t="s">
        <v>39</v>
      </c>
      <c r="B450" t="s">
        <v>40</v>
      </c>
      <c r="C450" t="s">
        <v>16</v>
      </c>
      <c r="D450" s="13">
        <v>45464</v>
      </c>
      <c r="E450" t="s">
        <v>205</v>
      </c>
      <c r="F450">
        <v>209228.93</v>
      </c>
      <c r="G450">
        <v>211921.91</v>
      </c>
      <c r="H450">
        <v>573977.5</v>
      </c>
      <c r="I450">
        <v>180525.78</v>
      </c>
      <c r="J450">
        <v>1</v>
      </c>
      <c r="K450">
        <v>7</v>
      </c>
      <c r="L450" t="s">
        <v>30</v>
      </c>
      <c r="M450" t="s">
        <v>101</v>
      </c>
      <c r="N450" t="s">
        <v>612</v>
      </c>
    </row>
    <row r="451" spans="1:14" x14ac:dyDescent="0.25">
      <c r="A451" t="s">
        <v>44</v>
      </c>
      <c r="B451" t="s">
        <v>45</v>
      </c>
      <c r="C451" t="s">
        <v>16</v>
      </c>
      <c r="D451" s="13">
        <v>45464</v>
      </c>
      <c r="E451" t="s">
        <v>205</v>
      </c>
      <c r="F451">
        <v>81278.55</v>
      </c>
      <c r="G451">
        <v>82453.94</v>
      </c>
      <c r="H451">
        <v>341028.1</v>
      </c>
      <c r="I451">
        <v>69942.45</v>
      </c>
      <c r="J451">
        <v>4</v>
      </c>
      <c r="K451">
        <v>2</v>
      </c>
      <c r="L451" t="s">
        <v>30</v>
      </c>
      <c r="M451" t="s">
        <v>611</v>
      </c>
      <c r="N451" t="s">
        <v>612</v>
      </c>
    </row>
    <row r="452" spans="1:14" x14ac:dyDescent="0.25">
      <c r="A452" t="s">
        <v>49</v>
      </c>
      <c r="B452" t="s">
        <v>50</v>
      </c>
      <c r="C452" t="s">
        <v>51</v>
      </c>
      <c r="D452" s="13">
        <v>45464</v>
      </c>
      <c r="E452" t="s">
        <v>205</v>
      </c>
      <c r="F452">
        <v>30177.88</v>
      </c>
      <c r="G452">
        <v>47390.38</v>
      </c>
      <c r="H452">
        <v>112308.93</v>
      </c>
      <c r="I452">
        <v>38440.47</v>
      </c>
      <c r="J452">
        <v>6</v>
      </c>
      <c r="K452">
        <v>7</v>
      </c>
      <c r="L452" t="s">
        <v>30</v>
      </c>
      <c r="M452" t="s">
        <v>611</v>
      </c>
      <c r="N452" t="s">
        <v>612</v>
      </c>
    </row>
    <row r="453" spans="1:14" x14ac:dyDescent="0.25">
      <c r="A453" t="s">
        <v>55</v>
      </c>
      <c r="B453" t="s">
        <v>56</v>
      </c>
      <c r="C453" t="s">
        <v>51</v>
      </c>
      <c r="D453" s="13">
        <v>45464</v>
      </c>
      <c r="E453" t="s">
        <v>205</v>
      </c>
      <c r="F453">
        <v>65211.03</v>
      </c>
      <c r="G453">
        <v>69024.7</v>
      </c>
      <c r="H453">
        <v>207652.26</v>
      </c>
      <c r="I453">
        <v>65418.44</v>
      </c>
      <c r="J453">
        <v>2</v>
      </c>
      <c r="K453">
        <v>8</v>
      </c>
      <c r="L453" t="s">
        <v>30</v>
      </c>
      <c r="M453" t="s">
        <v>113</v>
      </c>
      <c r="N453" t="s">
        <v>612</v>
      </c>
    </row>
    <row r="454" spans="1:14" x14ac:dyDescent="0.25">
      <c r="A454" t="s">
        <v>59</v>
      </c>
      <c r="B454" t="s">
        <v>60</v>
      </c>
      <c r="C454" t="s">
        <v>51</v>
      </c>
      <c r="D454" s="13">
        <v>45464</v>
      </c>
      <c r="E454" t="s">
        <v>205</v>
      </c>
      <c r="F454">
        <v>106952.33</v>
      </c>
      <c r="G454">
        <v>52038.03</v>
      </c>
      <c r="H454">
        <v>468854</v>
      </c>
      <c r="I454">
        <v>136886.28</v>
      </c>
      <c r="J454">
        <v>1</v>
      </c>
      <c r="K454">
        <v>2</v>
      </c>
      <c r="L454" t="s">
        <v>30</v>
      </c>
      <c r="M454" t="s">
        <v>125</v>
      </c>
      <c r="N454" t="s">
        <v>612</v>
      </c>
    </row>
    <row r="455" spans="1:14" x14ac:dyDescent="0.25">
      <c r="A455" t="s">
        <v>62</v>
      </c>
      <c r="B455" t="s">
        <v>63</v>
      </c>
      <c r="C455" t="s">
        <v>51</v>
      </c>
      <c r="D455" s="13">
        <v>45464</v>
      </c>
      <c r="E455" t="s">
        <v>205</v>
      </c>
      <c r="F455">
        <v>45405.63</v>
      </c>
      <c r="G455">
        <v>46784.52</v>
      </c>
      <c r="H455">
        <v>224749.74</v>
      </c>
      <c r="I455">
        <v>54345.64</v>
      </c>
      <c r="J455">
        <v>5</v>
      </c>
      <c r="K455">
        <v>2</v>
      </c>
      <c r="L455" t="s">
        <v>30</v>
      </c>
      <c r="M455" t="s">
        <v>611</v>
      </c>
      <c r="N455" t="s">
        <v>612</v>
      </c>
    </row>
    <row r="456" spans="1:14" x14ac:dyDescent="0.25">
      <c r="A456" t="s">
        <v>66</v>
      </c>
      <c r="B456" t="s">
        <v>67</v>
      </c>
      <c r="C456" t="s">
        <v>51</v>
      </c>
      <c r="D456" s="13">
        <v>45464</v>
      </c>
      <c r="E456" t="s">
        <v>205</v>
      </c>
      <c r="F456">
        <v>48776.160000000003</v>
      </c>
      <c r="G456">
        <v>51180.53</v>
      </c>
      <c r="H456">
        <v>195857.28</v>
      </c>
      <c r="I456">
        <v>58159.46</v>
      </c>
      <c r="J456">
        <v>6</v>
      </c>
      <c r="K456">
        <v>6</v>
      </c>
      <c r="L456" t="s">
        <v>30</v>
      </c>
      <c r="M456" t="s">
        <v>611</v>
      </c>
      <c r="N456" t="s">
        <v>612</v>
      </c>
    </row>
    <row r="457" spans="1:14" x14ac:dyDescent="0.25">
      <c r="A457" t="s">
        <v>68</v>
      </c>
      <c r="B457" t="s">
        <v>69</v>
      </c>
      <c r="C457" t="s">
        <v>51</v>
      </c>
      <c r="D457" s="13">
        <v>45464</v>
      </c>
      <c r="E457" t="s">
        <v>205</v>
      </c>
      <c r="F457">
        <v>73746.259999999995</v>
      </c>
      <c r="G457">
        <v>73056.13</v>
      </c>
      <c r="H457">
        <v>232425.08</v>
      </c>
      <c r="I457">
        <v>48289.63</v>
      </c>
      <c r="J457">
        <v>4</v>
      </c>
      <c r="K457">
        <v>5</v>
      </c>
      <c r="L457" t="s">
        <v>30</v>
      </c>
      <c r="M457" t="s">
        <v>101</v>
      </c>
      <c r="N457" t="s">
        <v>612</v>
      </c>
    </row>
    <row r="458" spans="1:14" x14ac:dyDescent="0.25">
      <c r="A458" t="s">
        <v>74</v>
      </c>
      <c r="B458" t="s">
        <v>75</v>
      </c>
      <c r="C458" t="s">
        <v>51</v>
      </c>
      <c r="D458" s="13">
        <v>45464</v>
      </c>
      <c r="E458" t="s">
        <v>205</v>
      </c>
      <c r="F458">
        <v>63818.53</v>
      </c>
      <c r="G458">
        <v>64950.19</v>
      </c>
      <c r="H458">
        <v>226505.76</v>
      </c>
      <c r="I458">
        <v>78986.259999999995</v>
      </c>
      <c r="J458">
        <v>4</v>
      </c>
      <c r="K458">
        <v>3</v>
      </c>
      <c r="L458" t="s">
        <v>30</v>
      </c>
      <c r="M458" t="s">
        <v>611</v>
      </c>
      <c r="N458" t="s">
        <v>612</v>
      </c>
    </row>
    <row r="459" spans="1:14" x14ac:dyDescent="0.25">
      <c r="A459" t="s">
        <v>78</v>
      </c>
      <c r="B459" t="s">
        <v>79</v>
      </c>
      <c r="C459" t="s">
        <v>137</v>
      </c>
      <c r="D459" s="13">
        <v>45464</v>
      </c>
      <c r="E459" t="s">
        <v>205</v>
      </c>
      <c r="F459">
        <v>29007.919999999998</v>
      </c>
      <c r="G459">
        <v>26956.07</v>
      </c>
      <c r="H459">
        <v>3638.5</v>
      </c>
      <c r="I459">
        <v>1254.1600000000001</v>
      </c>
      <c r="J459">
        <v>8</v>
      </c>
      <c r="K459">
        <v>14</v>
      </c>
      <c r="L459" t="s">
        <v>112</v>
      </c>
      <c r="M459" t="s">
        <v>611</v>
      </c>
      <c r="N459" t="s">
        <v>613</v>
      </c>
    </row>
    <row r="460" spans="1:14" x14ac:dyDescent="0.25">
      <c r="A460" t="s">
        <v>82</v>
      </c>
      <c r="B460" t="s">
        <v>83</v>
      </c>
      <c r="C460" t="s">
        <v>137</v>
      </c>
      <c r="D460" s="13">
        <v>45464</v>
      </c>
      <c r="E460" t="s">
        <v>205</v>
      </c>
      <c r="F460">
        <v>31811.53</v>
      </c>
      <c r="G460">
        <v>15387.7</v>
      </c>
      <c r="H460">
        <v>110510.33</v>
      </c>
      <c r="I460">
        <v>33818.43</v>
      </c>
      <c r="J460">
        <v>10</v>
      </c>
      <c r="K460">
        <v>14</v>
      </c>
      <c r="L460" t="s">
        <v>30</v>
      </c>
      <c r="M460" t="s">
        <v>31</v>
      </c>
      <c r="N460" t="s">
        <v>612</v>
      </c>
    </row>
    <row r="461" spans="1:14" x14ac:dyDescent="0.25">
      <c r="A461" t="s">
        <v>84</v>
      </c>
      <c r="B461" t="s">
        <v>85</v>
      </c>
      <c r="C461" t="s">
        <v>137</v>
      </c>
      <c r="D461" s="13">
        <v>45464</v>
      </c>
      <c r="E461" t="s">
        <v>205</v>
      </c>
      <c r="F461">
        <v>27586.32</v>
      </c>
      <c r="G461">
        <v>30204.26</v>
      </c>
      <c r="H461">
        <v>122588.65</v>
      </c>
      <c r="I461">
        <v>30782.19</v>
      </c>
      <c r="J461">
        <v>9</v>
      </c>
      <c r="K461">
        <v>13</v>
      </c>
      <c r="L461" t="s">
        <v>30</v>
      </c>
      <c r="M461" t="s">
        <v>26</v>
      </c>
      <c r="N461" t="s">
        <v>612</v>
      </c>
    </row>
    <row r="462" spans="1:14" x14ac:dyDescent="0.25">
      <c r="A462" t="s">
        <v>87</v>
      </c>
      <c r="B462" t="s">
        <v>88</v>
      </c>
      <c r="C462" t="s">
        <v>137</v>
      </c>
      <c r="D462" s="13">
        <v>45464</v>
      </c>
      <c r="E462" t="s">
        <v>205</v>
      </c>
      <c r="F462">
        <v>18975.900000000001</v>
      </c>
      <c r="G462">
        <v>18265.2</v>
      </c>
      <c r="H462">
        <v>77548.649999999994</v>
      </c>
      <c r="I462">
        <v>17123.23</v>
      </c>
      <c r="J462">
        <v>3</v>
      </c>
      <c r="K462">
        <v>3</v>
      </c>
      <c r="L462" t="s">
        <v>30</v>
      </c>
      <c r="M462" t="s">
        <v>43</v>
      </c>
      <c r="N462" t="s">
        <v>612</v>
      </c>
    </row>
    <row r="463" spans="1:14" x14ac:dyDescent="0.25">
      <c r="A463" t="s">
        <v>90</v>
      </c>
      <c r="B463" t="s">
        <v>91</v>
      </c>
      <c r="C463" t="s">
        <v>137</v>
      </c>
      <c r="D463" s="13">
        <v>45464</v>
      </c>
      <c r="E463" t="s">
        <v>205</v>
      </c>
      <c r="F463">
        <v>21905.31</v>
      </c>
      <c r="G463">
        <v>24086.880000000001</v>
      </c>
      <c r="H463">
        <v>92981.58</v>
      </c>
      <c r="I463">
        <v>26478.240000000002</v>
      </c>
      <c r="J463">
        <v>2</v>
      </c>
      <c r="K463">
        <v>10</v>
      </c>
      <c r="L463" t="s">
        <v>30</v>
      </c>
      <c r="M463" t="s">
        <v>611</v>
      </c>
      <c r="N463" t="s">
        <v>612</v>
      </c>
    </row>
    <row r="464" spans="1:14" x14ac:dyDescent="0.25">
      <c r="A464" t="s">
        <v>96</v>
      </c>
      <c r="B464" t="s">
        <v>97</v>
      </c>
      <c r="C464" t="s">
        <v>137</v>
      </c>
      <c r="D464" s="13">
        <v>45464</v>
      </c>
      <c r="E464" t="s">
        <v>205</v>
      </c>
      <c r="F464">
        <v>12550.37</v>
      </c>
      <c r="G464">
        <v>13630.17</v>
      </c>
      <c r="H464">
        <v>47801.75</v>
      </c>
      <c r="I464">
        <v>9214.7800000000007</v>
      </c>
      <c r="J464">
        <v>4</v>
      </c>
      <c r="K464">
        <v>14</v>
      </c>
      <c r="L464" t="s">
        <v>30</v>
      </c>
      <c r="M464" t="s">
        <v>127</v>
      </c>
      <c r="N464" t="s">
        <v>612</v>
      </c>
    </row>
    <row r="465" spans="1:14" x14ac:dyDescent="0.25">
      <c r="A465" t="s">
        <v>14</v>
      </c>
      <c r="B465" t="s">
        <v>15</v>
      </c>
      <c r="C465" t="s">
        <v>16</v>
      </c>
      <c r="D465" s="13">
        <v>45471</v>
      </c>
      <c r="E465" t="s">
        <v>205</v>
      </c>
      <c r="F465">
        <v>147637.46</v>
      </c>
      <c r="G465">
        <v>145414.63</v>
      </c>
      <c r="H465">
        <v>641494</v>
      </c>
      <c r="I465">
        <v>139184.20000000001</v>
      </c>
      <c r="J465">
        <v>3</v>
      </c>
      <c r="K465">
        <v>1</v>
      </c>
      <c r="L465" t="s">
        <v>112</v>
      </c>
      <c r="M465" t="s">
        <v>73</v>
      </c>
      <c r="N465" t="s">
        <v>612</v>
      </c>
    </row>
    <row r="466" spans="1:14" x14ac:dyDescent="0.25">
      <c r="A466" t="s">
        <v>21</v>
      </c>
      <c r="B466" t="s">
        <v>22</v>
      </c>
      <c r="C466" t="s">
        <v>16</v>
      </c>
      <c r="D466" s="13">
        <v>45471</v>
      </c>
      <c r="E466" t="s">
        <v>205</v>
      </c>
      <c r="F466">
        <v>63074.6</v>
      </c>
      <c r="G466">
        <v>101158.7</v>
      </c>
      <c r="H466">
        <v>225618.44</v>
      </c>
      <c r="I466">
        <v>60904.89</v>
      </c>
      <c r="J466">
        <v>2</v>
      </c>
      <c r="K466">
        <v>2</v>
      </c>
      <c r="L466" t="s">
        <v>30</v>
      </c>
      <c r="M466" t="s">
        <v>611</v>
      </c>
      <c r="N466" t="s">
        <v>612</v>
      </c>
    </row>
    <row r="467" spans="1:14" x14ac:dyDescent="0.25">
      <c r="A467" t="s">
        <v>27</v>
      </c>
      <c r="B467" t="s">
        <v>28</v>
      </c>
      <c r="C467" t="s">
        <v>16</v>
      </c>
      <c r="D467" s="13">
        <v>45471</v>
      </c>
      <c r="E467" t="s">
        <v>205</v>
      </c>
      <c r="F467">
        <v>95217</v>
      </c>
      <c r="G467">
        <v>94842.96</v>
      </c>
      <c r="H467">
        <v>276566.81</v>
      </c>
      <c r="I467">
        <v>70185.25</v>
      </c>
      <c r="J467">
        <v>3</v>
      </c>
      <c r="K467">
        <v>8</v>
      </c>
      <c r="L467" t="s">
        <v>112</v>
      </c>
      <c r="M467" t="s">
        <v>125</v>
      </c>
      <c r="N467" t="s">
        <v>612</v>
      </c>
    </row>
    <row r="468" spans="1:14" x14ac:dyDescent="0.25">
      <c r="A468" t="s">
        <v>32</v>
      </c>
      <c r="B468" t="s">
        <v>33</v>
      </c>
      <c r="C468" t="s">
        <v>16</v>
      </c>
      <c r="D468" s="13">
        <v>45471</v>
      </c>
      <c r="E468" t="s">
        <v>205</v>
      </c>
      <c r="F468">
        <v>212772.62</v>
      </c>
      <c r="G468">
        <v>219032.54</v>
      </c>
      <c r="H468">
        <v>595120.92000000004</v>
      </c>
      <c r="I468">
        <v>157258.60999999999</v>
      </c>
      <c r="J468">
        <v>6</v>
      </c>
      <c r="K468">
        <v>5</v>
      </c>
      <c r="L468" t="s">
        <v>30</v>
      </c>
      <c r="M468" t="s">
        <v>105</v>
      </c>
      <c r="N468" t="s">
        <v>612</v>
      </c>
    </row>
    <row r="469" spans="1:14" x14ac:dyDescent="0.25">
      <c r="A469" t="s">
        <v>39</v>
      </c>
      <c r="B469" t="s">
        <v>40</v>
      </c>
      <c r="C469" t="s">
        <v>16</v>
      </c>
      <c r="D469" s="13">
        <v>45471</v>
      </c>
      <c r="E469" t="s">
        <v>205</v>
      </c>
      <c r="F469">
        <v>196177.01</v>
      </c>
      <c r="G469">
        <v>195293.93</v>
      </c>
      <c r="H469">
        <v>703455.69</v>
      </c>
      <c r="I469">
        <v>184733.07</v>
      </c>
      <c r="J469">
        <v>4</v>
      </c>
      <c r="K469">
        <v>1</v>
      </c>
      <c r="L469" t="s">
        <v>30</v>
      </c>
      <c r="M469" t="s">
        <v>611</v>
      </c>
      <c r="N469" t="s">
        <v>612</v>
      </c>
    </row>
    <row r="470" spans="1:14" x14ac:dyDescent="0.25">
      <c r="A470" t="s">
        <v>44</v>
      </c>
      <c r="B470" t="s">
        <v>45</v>
      </c>
      <c r="C470" t="s">
        <v>16</v>
      </c>
      <c r="D470" s="13">
        <v>45471</v>
      </c>
      <c r="E470" t="s">
        <v>205</v>
      </c>
      <c r="F470">
        <v>178904.53</v>
      </c>
      <c r="G470">
        <v>182453.45</v>
      </c>
      <c r="H470">
        <v>531645</v>
      </c>
      <c r="I470">
        <v>152536.76999999999</v>
      </c>
      <c r="J470">
        <v>2</v>
      </c>
      <c r="K470">
        <v>3</v>
      </c>
      <c r="L470" t="s">
        <v>30</v>
      </c>
      <c r="M470" t="s">
        <v>115</v>
      </c>
      <c r="N470" t="s">
        <v>612</v>
      </c>
    </row>
    <row r="471" spans="1:14" x14ac:dyDescent="0.25">
      <c r="A471" t="s">
        <v>49</v>
      </c>
      <c r="B471" t="s">
        <v>50</v>
      </c>
      <c r="C471" t="s">
        <v>51</v>
      </c>
      <c r="D471" s="13">
        <v>45471</v>
      </c>
      <c r="E471" t="s">
        <v>205</v>
      </c>
      <c r="F471">
        <v>43171.02</v>
      </c>
      <c r="G471">
        <v>75843.740000000005</v>
      </c>
      <c r="H471">
        <v>159645</v>
      </c>
      <c r="I471">
        <v>46210.86</v>
      </c>
      <c r="J471">
        <v>3</v>
      </c>
      <c r="K471">
        <v>7</v>
      </c>
      <c r="L471" t="s">
        <v>30</v>
      </c>
      <c r="M471" t="s">
        <v>611</v>
      </c>
      <c r="N471" t="s">
        <v>612</v>
      </c>
    </row>
    <row r="472" spans="1:14" x14ac:dyDescent="0.25">
      <c r="A472" t="s">
        <v>55</v>
      </c>
      <c r="B472" t="s">
        <v>56</v>
      </c>
      <c r="C472" t="s">
        <v>51</v>
      </c>
      <c r="D472" s="13">
        <v>45471</v>
      </c>
      <c r="E472" t="s">
        <v>205</v>
      </c>
      <c r="F472">
        <v>58323.49</v>
      </c>
      <c r="G472">
        <v>61182.38</v>
      </c>
      <c r="H472">
        <v>208638.8</v>
      </c>
      <c r="I472">
        <v>54980.22</v>
      </c>
      <c r="J472">
        <v>3</v>
      </c>
      <c r="K472">
        <v>2</v>
      </c>
      <c r="L472" t="s">
        <v>30</v>
      </c>
      <c r="M472" t="s">
        <v>611</v>
      </c>
      <c r="N472" t="s">
        <v>612</v>
      </c>
    </row>
    <row r="473" spans="1:14" x14ac:dyDescent="0.25">
      <c r="A473" t="s">
        <v>59</v>
      </c>
      <c r="B473" t="s">
        <v>60</v>
      </c>
      <c r="C473" t="s">
        <v>51</v>
      </c>
      <c r="D473" s="13">
        <v>45471</v>
      </c>
      <c r="E473" t="s">
        <v>205</v>
      </c>
      <c r="F473">
        <v>69082.58</v>
      </c>
      <c r="G473">
        <v>36603.03</v>
      </c>
      <c r="H473">
        <v>195242.12</v>
      </c>
      <c r="I473">
        <v>39138.28</v>
      </c>
      <c r="J473">
        <v>5</v>
      </c>
      <c r="K473">
        <v>2</v>
      </c>
      <c r="L473" t="s">
        <v>112</v>
      </c>
      <c r="M473" t="s">
        <v>101</v>
      </c>
      <c r="N473" t="s">
        <v>612</v>
      </c>
    </row>
    <row r="474" spans="1:14" x14ac:dyDescent="0.25">
      <c r="A474" t="s">
        <v>62</v>
      </c>
      <c r="B474" t="s">
        <v>63</v>
      </c>
      <c r="C474" t="s">
        <v>51</v>
      </c>
      <c r="D474" s="13">
        <v>45471</v>
      </c>
      <c r="E474" t="s">
        <v>205</v>
      </c>
      <c r="F474">
        <v>39220.339999999997</v>
      </c>
      <c r="G474">
        <v>37468.75</v>
      </c>
      <c r="H474">
        <v>152027.42000000001</v>
      </c>
      <c r="I474">
        <v>50032.65</v>
      </c>
      <c r="J474">
        <v>5</v>
      </c>
      <c r="K474">
        <v>7</v>
      </c>
      <c r="L474" t="s">
        <v>112</v>
      </c>
      <c r="M474" t="s">
        <v>611</v>
      </c>
      <c r="N474" t="s">
        <v>612</v>
      </c>
    </row>
    <row r="475" spans="1:14" x14ac:dyDescent="0.25">
      <c r="A475" t="s">
        <v>66</v>
      </c>
      <c r="B475" t="s">
        <v>67</v>
      </c>
      <c r="C475" t="s">
        <v>51</v>
      </c>
      <c r="D475" s="13">
        <v>45471</v>
      </c>
      <c r="E475" t="s">
        <v>205</v>
      </c>
      <c r="F475">
        <v>88049.22</v>
      </c>
      <c r="G475">
        <v>85826.75</v>
      </c>
      <c r="H475">
        <v>394986.67</v>
      </c>
      <c r="I475">
        <v>120834.95</v>
      </c>
      <c r="J475">
        <v>4</v>
      </c>
      <c r="K475">
        <v>1</v>
      </c>
      <c r="L475" t="s">
        <v>30</v>
      </c>
      <c r="M475" t="s">
        <v>101</v>
      </c>
      <c r="N475" t="s">
        <v>612</v>
      </c>
    </row>
    <row r="476" spans="1:14" x14ac:dyDescent="0.25">
      <c r="A476" t="s">
        <v>68</v>
      </c>
      <c r="B476" t="s">
        <v>69</v>
      </c>
      <c r="C476" t="s">
        <v>51</v>
      </c>
      <c r="D476" s="13">
        <v>45471</v>
      </c>
      <c r="E476" t="s">
        <v>205</v>
      </c>
      <c r="F476">
        <v>39600.18</v>
      </c>
      <c r="G476">
        <v>38259.199999999997</v>
      </c>
      <c r="H476">
        <v>186037.21</v>
      </c>
      <c r="I476">
        <v>47890.62</v>
      </c>
      <c r="J476">
        <v>6</v>
      </c>
      <c r="K476">
        <v>1</v>
      </c>
      <c r="L476" t="s">
        <v>112</v>
      </c>
      <c r="M476" t="s">
        <v>115</v>
      </c>
      <c r="N476" t="s">
        <v>612</v>
      </c>
    </row>
    <row r="477" spans="1:14" x14ac:dyDescent="0.25">
      <c r="A477" t="s">
        <v>74</v>
      </c>
      <c r="B477" t="s">
        <v>75</v>
      </c>
      <c r="C477" t="s">
        <v>51</v>
      </c>
      <c r="D477" s="13">
        <v>45471</v>
      </c>
      <c r="E477" t="s">
        <v>205</v>
      </c>
      <c r="F477">
        <v>86522.76</v>
      </c>
      <c r="G477">
        <v>84215.27</v>
      </c>
      <c r="H477">
        <v>274803.83</v>
      </c>
      <c r="I477">
        <v>79476.08</v>
      </c>
      <c r="J477">
        <v>2</v>
      </c>
      <c r="K477">
        <v>3</v>
      </c>
      <c r="L477" t="s">
        <v>112</v>
      </c>
      <c r="M477" t="s">
        <v>611</v>
      </c>
      <c r="N477" t="s">
        <v>612</v>
      </c>
    </row>
    <row r="478" spans="1:14" x14ac:dyDescent="0.25">
      <c r="A478" t="s">
        <v>78</v>
      </c>
      <c r="B478" t="s">
        <v>79</v>
      </c>
      <c r="C478" t="s">
        <v>137</v>
      </c>
      <c r="D478" s="13">
        <v>45471</v>
      </c>
      <c r="E478" t="s">
        <v>205</v>
      </c>
      <c r="F478">
        <v>11607.51</v>
      </c>
      <c r="G478">
        <v>12532.25</v>
      </c>
      <c r="H478">
        <v>2474.54</v>
      </c>
      <c r="I478">
        <v>792.02</v>
      </c>
      <c r="J478">
        <v>5</v>
      </c>
      <c r="K478">
        <v>6</v>
      </c>
      <c r="L478" t="s">
        <v>30</v>
      </c>
      <c r="M478" t="s">
        <v>611</v>
      </c>
      <c r="N478" t="s">
        <v>613</v>
      </c>
    </row>
    <row r="479" spans="1:14" x14ac:dyDescent="0.25">
      <c r="A479" t="s">
        <v>82</v>
      </c>
      <c r="B479" t="s">
        <v>83</v>
      </c>
      <c r="C479" t="s">
        <v>137</v>
      </c>
      <c r="D479" s="13">
        <v>45471</v>
      </c>
      <c r="E479" t="s">
        <v>205</v>
      </c>
      <c r="F479">
        <v>20336.2</v>
      </c>
      <c r="G479">
        <v>10117.030000000001</v>
      </c>
      <c r="H479">
        <v>62057.91</v>
      </c>
      <c r="I479">
        <v>17306.89</v>
      </c>
      <c r="J479">
        <v>8</v>
      </c>
      <c r="K479">
        <v>9</v>
      </c>
      <c r="L479" t="s">
        <v>30</v>
      </c>
      <c r="M479" t="s">
        <v>125</v>
      </c>
      <c r="N479" t="s">
        <v>612</v>
      </c>
    </row>
    <row r="480" spans="1:14" x14ac:dyDescent="0.25">
      <c r="A480" t="s">
        <v>84</v>
      </c>
      <c r="B480" t="s">
        <v>85</v>
      </c>
      <c r="C480" t="s">
        <v>137</v>
      </c>
      <c r="D480" s="13">
        <v>45471</v>
      </c>
      <c r="E480" t="s">
        <v>205</v>
      </c>
      <c r="F480">
        <v>21244</v>
      </c>
      <c r="G480">
        <v>22219.01</v>
      </c>
      <c r="H480">
        <v>68089.36</v>
      </c>
      <c r="I480">
        <v>22503.06</v>
      </c>
      <c r="J480">
        <v>8</v>
      </c>
      <c r="K480">
        <v>12</v>
      </c>
      <c r="L480" t="s">
        <v>112</v>
      </c>
      <c r="M480" t="s">
        <v>43</v>
      </c>
      <c r="N480" t="s">
        <v>612</v>
      </c>
    </row>
    <row r="481" spans="1:14" x14ac:dyDescent="0.25">
      <c r="A481" t="s">
        <v>87</v>
      </c>
      <c r="B481" t="s">
        <v>88</v>
      </c>
      <c r="C481" t="s">
        <v>137</v>
      </c>
      <c r="D481" s="13">
        <v>45471</v>
      </c>
      <c r="E481" t="s">
        <v>205</v>
      </c>
      <c r="F481">
        <v>29815.8</v>
      </c>
      <c r="G481">
        <v>30431.759999999998</v>
      </c>
      <c r="H481">
        <v>8103161</v>
      </c>
      <c r="I481">
        <v>18806.830000000002</v>
      </c>
      <c r="J481">
        <v>12</v>
      </c>
      <c r="K481">
        <v>8</v>
      </c>
      <c r="L481" t="s">
        <v>112</v>
      </c>
      <c r="M481" t="s">
        <v>611</v>
      </c>
      <c r="N481" t="s">
        <v>612</v>
      </c>
    </row>
    <row r="482" spans="1:14" x14ac:dyDescent="0.25">
      <c r="A482" t="s">
        <v>90</v>
      </c>
      <c r="B482" t="s">
        <v>91</v>
      </c>
      <c r="C482" t="s">
        <v>137</v>
      </c>
      <c r="D482" s="13">
        <v>45471</v>
      </c>
      <c r="E482" t="s">
        <v>205</v>
      </c>
      <c r="F482">
        <v>10294.06</v>
      </c>
      <c r="G482">
        <v>9551.2999999999993</v>
      </c>
      <c r="H482">
        <v>40220.21</v>
      </c>
      <c r="I482">
        <v>8355.1299999999992</v>
      </c>
      <c r="J482">
        <v>7</v>
      </c>
      <c r="K482">
        <v>14</v>
      </c>
      <c r="L482" t="s">
        <v>30</v>
      </c>
      <c r="M482" t="s">
        <v>611</v>
      </c>
      <c r="N482" t="s">
        <v>612</v>
      </c>
    </row>
    <row r="483" spans="1:14" x14ac:dyDescent="0.25">
      <c r="A483" t="s">
        <v>93</v>
      </c>
      <c r="B483" t="s">
        <v>94</v>
      </c>
      <c r="C483" t="s">
        <v>137</v>
      </c>
      <c r="D483" s="13">
        <v>45471</v>
      </c>
      <c r="E483" t="s">
        <v>205</v>
      </c>
      <c r="F483">
        <v>43810.74</v>
      </c>
      <c r="G483">
        <v>21833.66</v>
      </c>
      <c r="H483">
        <v>140944.21</v>
      </c>
      <c r="I483">
        <v>41768.949999999997</v>
      </c>
      <c r="J483">
        <v>12</v>
      </c>
      <c r="K483">
        <v>12</v>
      </c>
      <c r="L483" t="s">
        <v>112</v>
      </c>
      <c r="M483" t="s">
        <v>611</v>
      </c>
      <c r="N483" t="s">
        <v>612</v>
      </c>
    </row>
    <row r="484" spans="1:14" x14ac:dyDescent="0.25">
      <c r="A484" t="s">
        <v>96</v>
      </c>
      <c r="B484" t="s">
        <v>97</v>
      </c>
      <c r="C484" t="s">
        <v>137</v>
      </c>
      <c r="D484" s="13">
        <v>45471</v>
      </c>
      <c r="E484" t="s">
        <v>205</v>
      </c>
      <c r="F484">
        <v>32929.629999999997</v>
      </c>
      <c r="G484">
        <v>35694.89</v>
      </c>
      <c r="H484">
        <v>132089.5</v>
      </c>
      <c r="I484">
        <v>35688.17</v>
      </c>
      <c r="J484">
        <v>11</v>
      </c>
      <c r="K484">
        <v>2</v>
      </c>
      <c r="L484" t="s">
        <v>30</v>
      </c>
      <c r="M484" t="s">
        <v>31</v>
      </c>
      <c r="N484" t="s">
        <v>612</v>
      </c>
    </row>
    <row r="485" spans="1:14" x14ac:dyDescent="0.25">
      <c r="A485" t="s">
        <v>14</v>
      </c>
      <c r="B485" t="s">
        <v>15</v>
      </c>
      <c r="C485" t="s">
        <v>16</v>
      </c>
      <c r="D485" s="13">
        <v>45478</v>
      </c>
      <c r="E485" t="s">
        <v>306</v>
      </c>
      <c r="F485">
        <v>179582.94</v>
      </c>
      <c r="G485">
        <v>80890.570000000007</v>
      </c>
      <c r="H485">
        <v>798149.19</v>
      </c>
      <c r="I485">
        <v>163718.46</v>
      </c>
      <c r="J485">
        <v>4</v>
      </c>
      <c r="K485">
        <v>3</v>
      </c>
      <c r="L485" t="s">
        <v>30</v>
      </c>
      <c r="M485" t="s">
        <v>611</v>
      </c>
      <c r="N485" t="s">
        <v>612</v>
      </c>
    </row>
    <row r="486" spans="1:14" x14ac:dyDescent="0.25">
      <c r="A486" t="s">
        <v>21</v>
      </c>
      <c r="B486" t="s">
        <v>22</v>
      </c>
      <c r="C486" t="s">
        <v>16</v>
      </c>
      <c r="D486" s="13">
        <v>45478</v>
      </c>
      <c r="E486" t="s">
        <v>306</v>
      </c>
      <c r="F486">
        <v>104837.3</v>
      </c>
      <c r="G486">
        <v>85089.69</v>
      </c>
      <c r="H486">
        <v>298320.11</v>
      </c>
      <c r="I486">
        <v>100436.28</v>
      </c>
      <c r="J486">
        <v>4</v>
      </c>
      <c r="K486">
        <v>6</v>
      </c>
      <c r="L486" t="s">
        <v>30</v>
      </c>
      <c r="M486" t="s">
        <v>105</v>
      </c>
      <c r="N486" t="s">
        <v>612</v>
      </c>
    </row>
    <row r="487" spans="1:14" x14ac:dyDescent="0.25">
      <c r="A487" t="s">
        <v>27</v>
      </c>
      <c r="B487" t="s">
        <v>28</v>
      </c>
      <c r="C487" t="s">
        <v>16</v>
      </c>
      <c r="D487" s="13">
        <v>45478</v>
      </c>
      <c r="E487" t="s">
        <v>306</v>
      </c>
      <c r="F487">
        <v>112927.03</v>
      </c>
      <c r="G487">
        <v>73264.92</v>
      </c>
      <c r="H487">
        <v>384629.02</v>
      </c>
      <c r="I487">
        <v>77968.44</v>
      </c>
      <c r="J487">
        <v>1</v>
      </c>
      <c r="K487">
        <v>1</v>
      </c>
      <c r="L487" t="s">
        <v>30</v>
      </c>
      <c r="M487" t="s">
        <v>101</v>
      </c>
      <c r="N487" t="s">
        <v>612</v>
      </c>
    </row>
    <row r="488" spans="1:14" x14ac:dyDescent="0.25">
      <c r="A488" t="s">
        <v>32</v>
      </c>
      <c r="B488" t="s">
        <v>33</v>
      </c>
      <c r="C488" t="s">
        <v>16</v>
      </c>
      <c r="D488" s="13">
        <v>45478</v>
      </c>
      <c r="E488" t="s">
        <v>306</v>
      </c>
      <c r="F488">
        <v>87821</v>
      </c>
      <c r="G488">
        <v>56417.25</v>
      </c>
      <c r="H488">
        <v>21339.03</v>
      </c>
      <c r="I488">
        <v>5189.3599999999997</v>
      </c>
      <c r="J488">
        <v>6</v>
      </c>
      <c r="K488">
        <v>3</v>
      </c>
      <c r="L488" t="s">
        <v>30</v>
      </c>
      <c r="M488" t="s">
        <v>611</v>
      </c>
      <c r="N488" t="s">
        <v>613</v>
      </c>
    </row>
    <row r="489" spans="1:14" x14ac:dyDescent="0.25">
      <c r="A489" t="s">
        <v>39</v>
      </c>
      <c r="B489" t="s">
        <v>40</v>
      </c>
      <c r="C489" t="s">
        <v>16</v>
      </c>
      <c r="D489" s="13">
        <v>45478</v>
      </c>
      <c r="E489" t="s">
        <v>306</v>
      </c>
      <c r="F489">
        <v>138309.28</v>
      </c>
      <c r="G489">
        <v>75233.740000000005</v>
      </c>
      <c r="H489">
        <v>604448</v>
      </c>
      <c r="I489">
        <v>139577.04</v>
      </c>
      <c r="J489">
        <v>4</v>
      </c>
      <c r="K489">
        <v>3</v>
      </c>
      <c r="L489" t="s">
        <v>30</v>
      </c>
      <c r="M489" t="s">
        <v>125</v>
      </c>
      <c r="N489" t="s">
        <v>612</v>
      </c>
    </row>
    <row r="490" spans="1:14" x14ac:dyDescent="0.25">
      <c r="A490" t="s">
        <v>49</v>
      </c>
      <c r="B490" t="s">
        <v>50</v>
      </c>
      <c r="C490" t="s">
        <v>51</v>
      </c>
      <c r="D490" s="13">
        <v>45478</v>
      </c>
      <c r="E490" t="s">
        <v>306</v>
      </c>
      <c r="F490">
        <v>52712.27</v>
      </c>
      <c r="G490">
        <v>43602.41</v>
      </c>
      <c r="H490">
        <v>225259.65</v>
      </c>
      <c r="I490">
        <v>46551.28</v>
      </c>
      <c r="J490">
        <v>1</v>
      </c>
      <c r="K490">
        <v>5</v>
      </c>
      <c r="L490" t="s">
        <v>30</v>
      </c>
      <c r="M490" t="s">
        <v>26</v>
      </c>
      <c r="N490" t="s">
        <v>612</v>
      </c>
    </row>
    <row r="491" spans="1:14" x14ac:dyDescent="0.25">
      <c r="A491" t="s">
        <v>55</v>
      </c>
      <c r="B491" t="s">
        <v>56</v>
      </c>
      <c r="C491" t="s">
        <v>51</v>
      </c>
      <c r="D491" s="13">
        <v>45478</v>
      </c>
      <c r="E491" t="s">
        <v>306</v>
      </c>
      <c r="F491">
        <v>582106</v>
      </c>
      <c r="G491">
        <v>33607.339999999997</v>
      </c>
      <c r="H491">
        <v>169208.69</v>
      </c>
      <c r="I491">
        <v>49058.68</v>
      </c>
      <c r="J491">
        <v>2</v>
      </c>
      <c r="K491">
        <v>7</v>
      </c>
      <c r="L491" t="s">
        <v>30</v>
      </c>
      <c r="M491" t="s">
        <v>113</v>
      </c>
      <c r="N491" t="s">
        <v>613</v>
      </c>
    </row>
    <row r="492" spans="1:14" x14ac:dyDescent="0.25">
      <c r="A492" t="s">
        <v>59</v>
      </c>
      <c r="B492" t="s">
        <v>60</v>
      </c>
      <c r="C492" t="s">
        <v>51</v>
      </c>
      <c r="D492" s="13">
        <v>45478</v>
      </c>
      <c r="E492" t="s">
        <v>306</v>
      </c>
      <c r="F492">
        <v>66210.570000000007</v>
      </c>
      <c r="G492">
        <v>22160.51</v>
      </c>
      <c r="H492">
        <v>179602.68</v>
      </c>
      <c r="I492">
        <v>33698.61</v>
      </c>
      <c r="J492">
        <v>4</v>
      </c>
      <c r="K492">
        <v>5</v>
      </c>
      <c r="L492" t="s">
        <v>30</v>
      </c>
      <c r="M492" t="s">
        <v>611</v>
      </c>
      <c r="N492" t="s">
        <v>612</v>
      </c>
    </row>
    <row r="493" spans="1:14" x14ac:dyDescent="0.25">
      <c r="A493" t="s">
        <v>62</v>
      </c>
      <c r="B493" t="s">
        <v>63</v>
      </c>
      <c r="C493" t="s">
        <v>51</v>
      </c>
      <c r="D493" s="13">
        <v>45478</v>
      </c>
      <c r="E493" t="s">
        <v>306</v>
      </c>
      <c r="F493">
        <v>88431.039999999994</v>
      </c>
      <c r="G493">
        <v>41516.25</v>
      </c>
      <c r="H493">
        <v>419276.16</v>
      </c>
      <c r="I493">
        <v>111263.36</v>
      </c>
      <c r="J493">
        <v>2</v>
      </c>
      <c r="K493">
        <v>7</v>
      </c>
      <c r="L493" t="s">
        <v>30</v>
      </c>
      <c r="M493" t="s">
        <v>105</v>
      </c>
      <c r="N493" t="s">
        <v>612</v>
      </c>
    </row>
    <row r="494" spans="1:14" x14ac:dyDescent="0.25">
      <c r="A494" t="s">
        <v>66</v>
      </c>
      <c r="B494" t="s">
        <v>67</v>
      </c>
      <c r="C494" t="s">
        <v>51</v>
      </c>
      <c r="D494" s="13">
        <v>45478</v>
      </c>
      <c r="E494" t="s">
        <v>306</v>
      </c>
      <c r="F494">
        <v>78448.56</v>
      </c>
      <c r="G494">
        <v>47364.51</v>
      </c>
      <c r="H494">
        <v>390951.67</v>
      </c>
      <c r="I494">
        <v>136319.92000000001</v>
      </c>
      <c r="J494">
        <v>5</v>
      </c>
      <c r="K494">
        <v>3</v>
      </c>
      <c r="L494" t="s">
        <v>30</v>
      </c>
      <c r="M494" t="s">
        <v>611</v>
      </c>
      <c r="N494" t="s">
        <v>612</v>
      </c>
    </row>
    <row r="495" spans="1:14" x14ac:dyDescent="0.25">
      <c r="A495" t="s">
        <v>68</v>
      </c>
      <c r="B495" t="s">
        <v>69</v>
      </c>
      <c r="C495" t="s">
        <v>51</v>
      </c>
      <c r="D495" s="13">
        <v>45478</v>
      </c>
      <c r="E495" t="s">
        <v>306</v>
      </c>
      <c r="F495">
        <v>89820.57</v>
      </c>
      <c r="G495">
        <v>57629.16</v>
      </c>
      <c r="H495">
        <v>18257.240000000002</v>
      </c>
      <c r="I495">
        <v>4247.04</v>
      </c>
      <c r="J495">
        <v>1</v>
      </c>
      <c r="K495">
        <v>8</v>
      </c>
      <c r="L495" t="s">
        <v>30</v>
      </c>
      <c r="M495" t="s">
        <v>611</v>
      </c>
      <c r="N495" t="s">
        <v>613</v>
      </c>
    </row>
    <row r="496" spans="1:14" x14ac:dyDescent="0.25">
      <c r="A496" t="s">
        <v>74</v>
      </c>
      <c r="B496" t="s">
        <v>75</v>
      </c>
      <c r="C496" t="s">
        <v>51</v>
      </c>
      <c r="D496" s="13">
        <v>45478</v>
      </c>
      <c r="E496" t="s">
        <v>306</v>
      </c>
      <c r="F496">
        <v>58395.66</v>
      </c>
      <c r="G496">
        <v>36516.65</v>
      </c>
      <c r="H496">
        <v>283194.03999999998</v>
      </c>
      <c r="I496">
        <v>74481.17</v>
      </c>
      <c r="J496">
        <v>3</v>
      </c>
      <c r="K496">
        <v>3</v>
      </c>
      <c r="L496" t="s">
        <v>30</v>
      </c>
      <c r="M496" t="s">
        <v>611</v>
      </c>
      <c r="N496" t="s">
        <v>612</v>
      </c>
    </row>
    <row r="497" spans="1:14" x14ac:dyDescent="0.25">
      <c r="A497" t="s">
        <v>78</v>
      </c>
      <c r="B497" t="s">
        <v>79</v>
      </c>
      <c r="C497" t="s">
        <v>137</v>
      </c>
      <c r="D497" s="13">
        <v>45478</v>
      </c>
      <c r="E497" t="s">
        <v>306</v>
      </c>
      <c r="F497">
        <v>31690.03</v>
      </c>
      <c r="G497">
        <v>14530.99</v>
      </c>
      <c r="H497">
        <v>83745.56</v>
      </c>
      <c r="I497">
        <v>25036.3</v>
      </c>
      <c r="J497">
        <v>10</v>
      </c>
      <c r="K497">
        <v>12</v>
      </c>
      <c r="L497" t="s">
        <v>30</v>
      </c>
      <c r="M497" t="s">
        <v>611</v>
      </c>
      <c r="N497" t="s">
        <v>612</v>
      </c>
    </row>
    <row r="498" spans="1:14" x14ac:dyDescent="0.25">
      <c r="A498" t="s">
        <v>82</v>
      </c>
      <c r="B498" t="s">
        <v>83</v>
      </c>
      <c r="C498" t="s">
        <v>137</v>
      </c>
      <c r="D498" s="13">
        <v>45478</v>
      </c>
      <c r="E498" t="s">
        <v>306</v>
      </c>
      <c r="F498">
        <v>34129.47</v>
      </c>
      <c r="G498">
        <v>11841.26</v>
      </c>
      <c r="H498">
        <v>94568.36</v>
      </c>
      <c r="I498">
        <v>23403.84</v>
      </c>
      <c r="J498">
        <v>8</v>
      </c>
      <c r="K498">
        <v>13</v>
      </c>
      <c r="L498" t="s">
        <v>30</v>
      </c>
      <c r="M498" t="s">
        <v>115</v>
      </c>
      <c r="N498" t="s">
        <v>612</v>
      </c>
    </row>
    <row r="499" spans="1:14" x14ac:dyDescent="0.25">
      <c r="A499" t="s">
        <v>84</v>
      </c>
      <c r="B499" t="s">
        <v>85</v>
      </c>
      <c r="C499" t="s">
        <v>137</v>
      </c>
      <c r="D499" s="13">
        <v>45478</v>
      </c>
      <c r="E499" t="s">
        <v>306</v>
      </c>
      <c r="F499">
        <v>33610</v>
      </c>
      <c r="G499">
        <v>16559.650000000001</v>
      </c>
      <c r="H499">
        <v>86657.99</v>
      </c>
      <c r="I499">
        <v>21200.74</v>
      </c>
      <c r="J499">
        <v>7</v>
      </c>
      <c r="K499">
        <v>11</v>
      </c>
      <c r="L499" t="s">
        <v>112</v>
      </c>
      <c r="M499" t="s">
        <v>43</v>
      </c>
      <c r="N499" t="s">
        <v>612</v>
      </c>
    </row>
    <row r="500" spans="1:14" x14ac:dyDescent="0.25">
      <c r="A500" t="s">
        <v>90</v>
      </c>
      <c r="B500" t="s">
        <v>91</v>
      </c>
      <c r="C500" t="s">
        <v>137</v>
      </c>
      <c r="D500" s="13">
        <v>45478</v>
      </c>
      <c r="E500" t="s">
        <v>306</v>
      </c>
      <c r="F500">
        <v>16055.09</v>
      </c>
      <c r="G500">
        <v>10022.52</v>
      </c>
      <c r="H500">
        <v>48731.42</v>
      </c>
      <c r="I500">
        <v>10296.620000000001</v>
      </c>
      <c r="J500">
        <v>2</v>
      </c>
      <c r="K500">
        <v>10</v>
      </c>
      <c r="L500" t="s">
        <v>30</v>
      </c>
      <c r="M500" t="s">
        <v>611</v>
      </c>
      <c r="N500" t="s">
        <v>612</v>
      </c>
    </row>
    <row r="501" spans="1:14" x14ac:dyDescent="0.25">
      <c r="A501" t="s">
        <v>93</v>
      </c>
      <c r="B501" t="s">
        <v>94</v>
      </c>
      <c r="C501" t="s">
        <v>137</v>
      </c>
      <c r="D501" s="13">
        <v>45478</v>
      </c>
      <c r="E501" t="s">
        <v>306</v>
      </c>
      <c r="F501">
        <v>34747.370000000003</v>
      </c>
      <c r="G501">
        <v>16201.66</v>
      </c>
      <c r="H501">
        <v>104117.01</v>
      </c>
      <c r="I501">
        <v>28980.26</v>
      </c>
      <c r="J501">
        <v>4</v>
      </c>
      <c r="K501">
        <v>11</v>
      </c>
      <c r="L501" t="s">
        <v>30</v>
      </c>
      <c r="M501" t="s">
        <v>611</v>
      </c>
      <c r="N501" t="s">
        <v>612</v>
      </c>
    </row>
    <row r="502" spans="1:14" x14ac:dyDescent="0.25">
      <c r="A502" t="s">
        <v>96</v>
      </c>
      <c r="B502" t="s">
        <v>97</v>
      </c>
      <c r="C502" t="s">
        <v>137</v>
      </c>
      <c r="D502" s="13">
        <v>45478</v>
      </c>
      <c r="E502" t="s">
        <v>306</v>
      </c>
      <c r="F502">
        <v>34682.44</v>
      </c>
      <c r="G502">
        <v>21553.52</v>
      </c>
      <c r="H502">
        <v>125665.64</v>
      </c>
      <c r="I502">
        <v>24701.57</v>
      </c>
      <c r="J502">
        <v>5</v>
      </c>
      <c r="K502">
        <v>12</v>
      </c>
      <c r="L502" t="s">
        <v>30</v>
      </c>
      <c r="M502" t="s">
        <v>611</v>
      </c>
      <c r="N502" t="s">
        <v>612</v>
      </c>
    </row>
    <row r="503" spans="1:14" x14ac:dyDescent="0.25">
      <c r="A503" t="s">
        <v>14</v>
      </c>
      <c r="B503" t="s">
        <v>15</v>
      </c>
      <c r="C503" t="s">
        <v>16</v>
      </c>
      <c r="D503" s="13">
        <v>45485</v>
      </c>
      <c r="E503" t="s">
        <v>306</v>
      </c>
      <c r="F503">
        <v>82266.78</v>
      </c>
      <c r="G503">
        <v>45281.04</v>
      </c>
      <c r="H503">
        <v>349493.36</v>
      </c>
      <c r="I503">
        <v>90001.38</v>
      </c>
      <c r="J503">
        <v>4</v>
      </c>
      <c r="K503">
        <v>2</v>
      </c>
      <c r="L503" t="s">
        <v>30</v>
      </c>
      <c r="M503" t="s">
        <v>611</v>
      </c>
      <c r="N503" t="s">
        <v>612</v>
      </c>
    </row>
    <row r="504" spans="1:14" x14ac:dyDescent="0.25">
      <c r="A504" t="s">
        <v>21</v>
      </c>
      <c r="B504" t="s">
        <v>22</v>
      </c>
      <c r="C504" t="s">
        <v>16</v>
      </c>
      <c r="D504" s="13">
        <v>45485</v>
      </c>
      <c r="E504" t="s">
        <v>306</v>
      </c>
      <c r="F504">
        <v>149974.20000000001</v>
      </c>
      <c r="G504">
        <v>100475.13</v>
      </c>
      <c r="H504">
        <v>748132.5</v>
      </c>
      <c r="I504">
        <v>147866.93</v>
      </c>
      <c r="J504">
        <v>6</v>
      </c>
      <c r="K504">
        <v>2</v>
      </c>
      <c r="L504" t="s">
        <v>30</v>
      </c>
      <c r="M504" t="s">
        <v>73</v>
      </c>
      <c r="N504" t="s">
        <v>612</v>
      </c>
    </row>
    <row r="505" spans="1:14" x14ac:dyDescent="0.25">
      <c r="A505" t="s">
        <v>27</v>
      </c>
      <c r="B505" t="s">
        <v>28</v>
      </c>
      <c r="C505" t="s">
        <v>16</v>
      </c>
      <c r="D505" s="13">
        <v>45485</v>
      </c>
      <c r="E505" t="s">
        <v>306</v>
      </c>
      <c r="F505">
        <v>109661.96</v>
      </c>
      <c r="G505">
        <v>61445.52</v>
      </c>
      <c r="H505">
        <v>327768.69</v>
      </c>
      <c r="I505">
        <v>65932.28</v>
      </c>
      <c r="J505">
        <v>4</v>
      </c>
      <c r="K505">
        <v>2</v>
      </c>
      <c r="L505" t="s">
        <v>30</v>
      </c>
      <c r="M505" t="s">
        <v>611</v>
      </c>
      <c r="N505" t="s">
        <v>612</v>
      </c>
    </row>
    <row r="506" spans="1:14" x14ac:dyDescent="0.25">
      <c r="A506" t="s">
        <v>32</v>
      </c>
      <c r="B506" t="s">
        <v>33</v>
      </c>
      <c r="C506" t="s">
        <v>16</v>
      </c>
      <c r="D506" s="13">
        <v>45485</v>
      </c>
      <c r="E506" t="s">
        <v>306</v>
      </c>
      <c r="F506">
        <v>80582.06</v>
      </c>
      <c r="G506">
        <v>36788.519999999997</v>
      </c>
      <c r="H506">
        <v>232353.4</v>
      </c>
      <c r="I506">
        <v>74083.600000000006</v>
      </c>
      <c r="J506">
        <v>6</v>
      </c>
      <c r="K506">
        <v>1</v>
      </c>
      <c r="L506" t="s">
        <v>30</v>
      </c>
      <c r="M506" t="s">
        <v>611</v>
      </c>
      <c r="N506" t="s">
        <v>612</v>
      </c>
    </row>
    <row r="507" spans="1:14" x14ac:dyDescent="0.25">
      <c r="A507" t="s">
        <v>39</v>
      </c>
      <c r="B507" t="s">
        <v>40</v>
      </c>
      <c r="C507" t="s">
        <v>16</v>
      </c>
      <c r="D507" s="13">
        <v>45485</v>
      </c>
      <c r="E507" t="s">
        <v>306</v>
      </c>
      <c r="F507">
        <v>211514.84</v>
      </c>
      <c r="G507">
        <v>125983.01</v>
      </c>
      <c r="H507">
        <v>1006901.26</v>
      </c>
      <c r="I507">
        <v>256113.66</v>
      </c>
      <c r="J507">
        <v>1</v>
      </c>
      <c r="K507">
        <v>7</v>
      </c>
      <c r="L507" t="s">
        <v>30</v>
      </c>
      <c r="M507" t="s">
        <v>125</v>
      </c>
      <c r="N507" t="s">
        <v>612</v>
      </c>
    </row>
    <row r="508" spans="1:14" x14ac:dyDescent="0.25">
      <c r="A508" t="s">
        <v>44</v>
      </c>
      <c r="B508" t="s">
        <v>45</v>
      </c>
      <c r="C508" t="s">
        <v>16</v>
      </c>
      <c r="D508" s="13">
        <v>45485</v>
      </c>
      <c r="E508" t="s">
        <v>306</v>
      </c>
      <c r="F508">
        <v>108526.76</v>
      </c>
      <c r="G508">
        <v>58331.42</v>
      </c>
      <c r="H508">
        <v>278864.49</v>
      </c>
      <c r="I508">
        <v>93838.19</v>
      </c>
      <c r="J508">
        <v>1</v>
      </c>
      <c r="K508">
        <v>3</v>
      </c>
      <c r="L508" t="s">
        <v>30</v>
      </c>
      <c r="M508" t="s">
        <v>105</v>
      </c>
      <c r="N508" t="s">
        <v>612</v>
      </c>
    </row>
    <row r="509" spans="1:14" x14ac:dyDescent="0.25">
      <c r="A509" t="s">
        <v>49</v>
      </c>
      <c r="B509" t="s">
        <v>50</v>
      </c>
      <c r="C509" t="s">
        <v>51</v>
      </c>
      <c r="D509" s="13">
        <v>45485</v>
      </c>
      <c r="E509" t="s">
        <v>306</v>
      </c>
      <c r="F509">
        <v>60697.84</v>
      </c>
      <c r="G509">
        <v>36103.32</v>
      </c>
      <c r="H509">
        <v>293622.15000000002</v>
      </c>
      <c r="I509">
        <v>84717.54</v>
      </c>
      <c r="J509">
        <v>5</v>
      </c>
      <c r="K509">
        <v>2</v>
      </c>
      <c r="L509" t="s">
        <v>30</v>
      </c>
      <c r="M509" t="s">
        <v>101</v>
      </c>
      <c r="N509" t="s">
        <v>612</v>
      </c>
    </row>
    <row r="510" spans="1:14" x14ac:dyDescent="0.25">
      <c r="A510" t="s">
        <v>55</v>
      </c>
      <c r="B510" t="s">
        <v>56</v>
      </c>
      <c r="C510" t="s">
        <v>51</v>
      </c>
      <c r="D510" s="13">
        <v>45485</v>
      </c>
      <c r="E510" t="s">
        <v>306</v>
      </c>
      <c r="F510">
        <v>59462.22</v>
      </c>
      <c r="G510">
        <v>27633</v>
      </c>
      <c r="H510">
        <v>179917.21</v>
      </c>
      <c r="I510">
        <v>59597.81</v>
      </c>
      <c r="J510">
        <v>6</v>
      </c>
      <c r="K510">
        <v>2</v>
      </c>
      <c r="L510" t="s">
        <v>112</v>
      </c>
      <c r="M510" t="s">
        <v>611</v>
      </c>
      <c r="N510" t="s">
        <v>612</v>
      </c>
    </row>
    <row r="511" spans="1:14" x14ac:dyDescent="0.25">
      <c r="A511" t="s">
        <v>59</v>
      </c>
      <c r="B511" t="s">
        <v>60</v>
      </c>
      <c r="C511" t="s">
        <v>51</v>
      </c>
      <c r="D511" s="13">
        <v>45485</v>
      </c>
      <c r="E511" t="s">
        <v>306</v>
      </c>
      <c r="F511">
        <v>79971.199999999997</v>
      </c>
      <c r="G511">
        <v>28435.68</v>
      </c>
      <c r="H511">
        <v>385177.92</v>
      </c>
      <c r="I511">
        <v>71267.31</v>
      </c>
      <c r="J511">
        <v>1</v>
      </c>
      <c r="K511">
        <v>5</v>
      </c>
      <c r="L511" t="s">
        <v>30</v>
      </c>
      <c r="M511" t="s">
        <v>31</v>
      </c>
      <c r="N511" t="s">
        <v>612</v>
      </c>
    </row>
    <row r="512" spans="1:14" x14ac:dyDescent="0.25">
      <c r="A512" t="s">
        <v>62</v>
      </c>
      <c r="B512" t="s">
        <v>63</v>
      </c>
      <c r="C512" t="s">
        <v>51</v>
      </c>
      <c r="D512" s="13">
        <v>45485</v>
      </c>
      <c r="E512" t="s">
        <v>306</v>
      </c>
      <c r="F512">
        <v>41954.25</v>
      </c>
      <c r="G512">
        <v>24820.84</v>
      </c>
      <c r="H512">
        <v>153871.81</v>
      </c>
      <c r="I512">
        <v>39103.53</v>
      </c>
      <c r="J512">
        <v>4</v>
      </c>
      <c r="K512">
        <v>5</v>
      </c>
      <c r="L512" t="s">
        <v>112</v>
      </c>
      <c r="M512" t="s">
        <v>611</v>
      </c>
      <c r="N512" t="s">
        <v>612</v>
      </c>
    </row>
    <row r="513" spans="1:14" x14ac:dyDescent="0.25">
      <c r="A513" t="s">
        <v>66</v>
      </c>
      <c r="B513" t="s">
        <v>67</v>
      </c>
      <c r="C513" t="s">
        <v>51</v>
      </c>
      <c r="D513" s="13">
        <v>45485</v>
      </c>
      <c r="E513" t="s">
        <v>306</v>
      </c>
      <c r="F513">
        <v>77645.97</v>
      </c>
      <c r="G513">
        <v>42516.32</v>
      </c>
      <c r="H513">
        <v>276368.67</v>
      </c>
      <c r="I513">
        <v>88079.16</v>
      </c>
      <c r="J513">
        <v>5</v>
      </c>
      <c r="K513">
        <v>8</v>
      </c>
      <c r="L513" t="s">
        <v>30</v>
      </c>
      <c r="M513" t="s">
        <v>611</v>
      </c>
      <c r="N513" t="s">
        <v>612</v>
      </c>
    </row>
    <row r="514" spans="1:14" x14ac:dyDescent="0.25">
      <c r="A514" t="s">
        <v>68</v>
      </c>
      <c r="B514" t="s">
        <v>69</v>
      </c>
      <c r="C514" t="s">
        <v>51</v>
      </c>
      <c r="D514" s="13">
        <v>45485</v>
      </c>
      <c r="E514" t="s">
        <v>306</v>
      </c>
      <c r="F514">
        <v>54588.5</v>
      </c>
      <c r="G514">
        <v>34142.400000000001</v>
      </c>
      <c r="H514">
        <v>1908208</v>
      </c>
      <c r="I514">
        <v>60595.13</v>
      </c>
      <c r="J514">
        <v>4</v>
      </c>
      <c r="K514">
        <v>6</v>
      </c>
      <c r="L514" t="s">
        <v>112</v>
      </c>
      <c r="M514" t="s">
        <v>611</v>
      </c>
      <c r="N514" t="s">
        <v>612</v>
      </c>
    </row>
    <row r="515" spans="1:14" x14ac:dyDescent="0.25">
      <c r="A515" t="s">
        <v>74</v>
      </c>
      <c r="B515" t="s">
        <v>75</v>
      </c>
      <c r="C515" t="s">
        <v>51</v>
      </c>
      <c r="D515" s="13">
        <v>45485</v>
      </c>
      <c r="E515" t="s">
        <v>306</v>
      </c>
      <c r="F515">
        <v>64048.160000000003</v>
      </c>
      <c r="G515">
        <v>31801.81</v>
      </c>
      <c r="H515">
        <v>221861.35</v>
      </c>
      <c r="I515">
        <v>59821.5</v>
      </c>
      <c r="J515">
        <v>1</v>
      </c>
      <c r="K515">
        <v>2</v>
      </c>
      <c r="L515" t="s">
        <v>30</v>
      </c>
      <c r="M515" t="s">
        <v>101</v>
      </c>
      <c r="N515" t="s">
        <v>612</v>
      </c>
    </row>
    <row r="516" spans="1:14" x14ac:dyDescent="0.25">
      <c r="A516" t="s">
        <v>82</v>
      </c>
      <c r="B516" t="s">
        <v>83</v>
      </c>
      <c r="C516" t="s">
        <v>137</v>
      </c>
      <c r="D516" s="13">
        <v>45485</v>
      </c>
      <c r="E516" t="s">
        <v>306</v>
      </c>
      <c r="F516">
        <v>12152.87</v>
      </c>
      <c r="G516">
        <v>5007.38</v>
      </c>
      <c r="H516">
        <v>40313.33</v>
      </c>
      <c r="I516">
        <v>11206.72</v>
      </c>
      <c r="J516">
        <v>6</v>
      </c>
      <c r="K516">
        <v>11</v>
      </c>
      <c r="L516" t="s">
        <v>30</v>
      </c>
      <c r="M516" t="s">
        <v>611</v>
      </c>
      <c r="N516" t="s">
        <v>612</v>
      </c>
    </row>
    <row r="517" spans="1:14" x14ac:dyDescent="0.25">
      <c r="A517" t="s">
        <v>84</v>
      </c>
      <c r="B517" t="s">
        <v>85</v>
      </c>
      <c r="C517" t="s">
        <v>137</v>
      </c>
      <c r="D517" s="13">
        <v>45485</v>
      </c>
      <c r="E517" t="s">
        <v>306</v>
      </c>
      <c r="F517">
        <v>9875.26</v>
      </c>
      <c r="G517">
        <v>6028.87</v>
      </c>
      <c r="H517">
        <v>32119.24</v>
      </c>
      <c r="I517">
        <v>7669.76</v>
      </c>
      <c r="J517">
        <v>3</v>
      </c>
      <c r="K517">
        <v>13</v>
      </c>
      <c r="L517" t="s">
        <v>112</v>
      </c>
      <c r="M517" t="s">
        <v>611</v>
      </c>
      <c r="N517" t="s">
        <v>612</v>
      </c>
    </row>
    <row r="518" spans="1:14" x14ac:dyDescent="0.25">
      <c r="A518" t="s">
        <v>87</v>
      </c>
      <c r="B518" t="s">
        <v>88</v>
      </c>
      <c r="C518" t="s">
        <v>137</v>
      </c>
      <c r="D518" s="13">
        <v>45485</v>
      </c>
      <c r="E518" t="s">
        <v>306</v>
      </c>
      <c r="F518">
        <v>10774.08</v>
      </c>
      <c r="G518">
        <v>6627.04</v>
      </c>
      <c r="H518">
        <v>29767.040000000001</v>
      </c>
      <c r="I518">
        <v>8837.59</v>
      </c>
      <c r="J518">
        <v>8</v>
      </c>
      <c r="K518">
        <v>4</v>
      </c>
      <c r="L518" t="s">
        <v>30</v>
      </c>
      <c r="M518" t="s">
        <v>115</v>
      </c>
      <c r="N518" t="s">
        <v>612</v>
      </c>
    </row>
    <row r="519" spans="1:14" x14ac:dyDescent="0.25">
      <c r="A519" t="s">
        <v>90</v>
      </c>
      <c r="B519" t="s">
        <v>91</v>
      </c>
      <c r="C519" t="s">
        <v>137</v>
      </c>
      <c r="D519" s="13">
        <v>45485</v>
      </c>
      <c r="E519" t="s">
        <v>306</v>
      </c>
      <c r="F519">
        <v>33572.910000000003</v>
      </c>
      <c r="G519">
        <v>17319.12</v>
      </c>
      <c r="H519">
        <v>150375.41</v>
      </c>
      <c r="I519">
        <v>44928.11</v>
      </c>
      <c r="J519">
        <v>4</v>
      </c>
      <c r="K519">
        <v>11</v>
      </c>
      <c r="L519" t="s">
        <v>30</v>
      </c>
      <c r="M519" t="s">
        <v>611</v>
      </c>
      <c r="N519" t="s">
        <v>612</v>
      </c>
    </row>
    <row r="520" spans="1:14" x14ac:dyDescent="0.25">
      <c r="A520" t="s">
        <v>93</v>
      </c>
      <c r="B520" t="s">
        <v>94</v>
      </c>
      <c r="C520" t="s">
        <v>137</v>
      </c>
      <c r="D520" s="13">
        <v>45485</v>
      </c>
      <c r="E520" t="s">
        <v>306</v>
      </c>
      <c r="F520">
        <v>32988.22</v>
      </c>
      <c r="G520">
        <v>12140.91</v>
      </c>
      <c r="H520">
        <v>122279.61</v>
      </c>
      <c r="I520">
        <v>37937.78</v>
      </c>
      <c r="J520">
        <v>3</v>
      </c>
      <c r="K520">
        <v>13</v>
      </c>
      <c r="L520" t="s">
        <v>30</v>
      </c>
      <c r="M520" t="s">
        <v>611</v>
      </c>
      <c r="N520" t="s">
        <v>612</v>
      </c>
    </row>
    <row r="521" spans="1:14" x14ac:dyDescent="0.25">
      <c r="A521" t="s">
        <v>96</v>
      </c>
      <c r="B521" t="s">
        <v>97</v>
      </c>
      <c r="C521" t="s">
        <v>137</v>
      </c>
      <c r="D521" s="13">
        <v>45485</v>
      </c>
      <c r="E521" t="s">
        <v>306</v>
      </c>
      <c r="F521">
        <v>10822.44</v>
      </c>
      <c r="G521">
        <v>6148.28</v>
      </c>
      <c r="H521">
        <v>40960.959999999999</v>
      </c>
      <c r="I521">
        <v>13949.04</v>
      </c>
      <c r="J521">
        <v>9</v>
      </c>
      <c r="K521">
        <v>10</v>
      </c>
      <c r="L521" t="s">
        <v>30</v>
      </c>
      <c r="M521" t="s">
        <v>611</v>
      </c>
      <c r="N521" t="s">
        <v>612</v>
      </c>
    </row>
    <row r="522" spans="1:14" x14ac:dyDescent="0.25">
      <c r="A522" t="s">
        <v>14</v>
      </c>
      <c r="B522" t="s">
        <v>15</v>
      </c>
      <c r="C522" t="s">
        <v>16</v>
      </c>
      <c r="D522" s="13">
        <v>45492</v>
      </c>
      <c r="E522" t="s">
        <v>306</v>
      </c>
      <c r="F522">
        <v>118897.38</v>
      </c>
      <c r="G522">
        <v>60807.61</v>
      </c>
      <c r="H522">
        <v>341024.36</v>
      </c>
      <c r="I522">
        <v>104576.63</v>
      </c>
      <c r="J522">
        <v>2</v>
      </c>
      <c r="K522">
        <v>2</v>
      </c>
      <c r="L522" t="s">
        <v>30</v>
      </c>
      <c r="M522" t="s">
        <v>611</v>
      </c>
      <c r="N522" t="s">
        <v>612</v>
      </c>
    </row>
    <row r="523" spans="1:14" x14ac:dyDescent="0.25">
      <c r="A523" t="s">
        <v>21</v>
      </c>
      <c r="B523" t="s">
        <v>22</v>
      </c>
      <c r="C523" t="s">
        <v>16</v>
      </c>
      <c r="D523" s="13">
        <v>45492</v>
      </c>
      <c r="E523" t="s">
        <v>306</v>
      </c>
      <c r="F523">
        <v>75734.98</v>
      </c>
      <c r="G523">
        <v>46563.76</v>
      </c>
      <c r="H523">
        <v>9580.82</v>
      </c>
      <c r="I523">
        <v>3236.05</v>
      </c>
      <c r="J523">
        <v>2</v>
      </c>
      <c r="K523">
        <v>5</v>
      </c>
      <c r="L523" t="s">
        <v>30</v>
      </c>
      <c r="M523" t="s">
        <v>105</v>
      </c>
      <c r="N523" t="s">
        <v>613</v>
      </c>
    </row>
    <row r="524" spans="1:14" x14ac:dyDescent="0.25">
      <c r="A524" t="s">
        <v>27</v>
      </c>
      <c r="B524" t="s">
        <v>28</v>
      </c>
      <c r="C524" t="s">
        <v>16</v>
      </c>
      <c r="D524" s="13">
        <v>45492</v>
      </c>
      <c r="E524" t="s">
        <v>306</v>
      </c>
      <c r="F524">
        <v>205308.18</v>
      </c>
      <c r="G524">
        <v>102192.85</v>
      </c>
      <c r="H524">
        <v>654655.67000000004</v>
      </c>
      <c r="I524">
        <v>195687.77</v>
      </c>
      <c r="J524">
        <v>4</v>
      </c>
      <c r="K524">
        <v>2</v>
      </c>
      <c r="L524" t="s">
        <v>30</v>
      </c>
      <c r="M524" t="s">
        <v>113</v>
      </c>
      <c r="N524" t="s">
        <v>612</v>
      </c>
    </row>
    <row r="525" spans="1:14" x14ac:dyDescent="0.25">
      <c r="A525" t="s">
        <v>32</v>
      </c>
      <c r="B525" t="s">
        <v>33</v>
      </c>
      <c r="C525" t="s">
        <v>16</v>
      </c>
      <c r="D525" s="13">
        <v>45492</v>
      </c>
      <c r="E525" t="s">
        <v>306</v>
      </c>
      <c r="F525">
        <v>150453</v>
      </c>
      <c r="G525">
        <v>82050.13</v>
      </c>
      <c r="H525">
        <v>6916812</v>
      </c>
      <c r="I525">
        <v>145591.66</v>
      </c>
      <c r="J525">
        <v>6</v>
      </c>
      <c r="K525">
        <v>5</v>
      </c>
      <c r="L525" t="s">
        <v>30</v>
      </c>
      <c r="M525" t="s">
        <v>113</v>
      </c>
      <c r="N525" t="s">
        <v>612</v>
      </c>
    </row>
    <row r="526" spans="1:14" x14ac:dyDescent="0.25">
      <c r="A526" t="s">
        <v>39</v>
      </c>
      <c r="B526" t="s">
        <v>40</v>
      </c>
      <c r="C526" t="s">
        <v>16</v>
      </c>
      <c r="D526" s="13">
        <v>45492</v>
      </c>
      <c r="E526" t="s">
        <v>306</v>
      </c>
      <c r="F526">
        <v>215735.81</v>
      </c>
      <c r="G526">
        <v>118150.19</v>
      </c>
      <c r="H526">
        <v>11537.16</v>
      </c>
      <c r="I526">
        <v>3410.47</v>
      </c>
      <c r="J526">
        <v>3</v>
      </c>
      <c r="K526">
        <v>4</v>
      </c>
      <c r="L526" t="s">
        <v>30</v>
      </c>
      <c r="M526" t="s">
        <v>611</v>
      </c>
      <c r="N526" t="s">
        <v>613</v>
      </c>
    </row>
    <row r="527" spans="1:14" x14ac:dyDescent="0.25">
      <c r="A527" t="s">
        <v>44</v>
      </c>
      <c r="B527" t="s">
        <v>45</v>
      </c>
      <c r="C527" t="s">
        <v>16</v>
      </c>
      <c r="D527" s="13">
        <v>45492</v>
      </c>
      <c r="E527" t="s">
        <v>306</v>
      </c>
      <c r="F527">
        <v>148109.06</v>
      </c>
      <c r="G527">
        <v>67050.78</v>
      </c>
      <c r="H527">
        <v>481774.36</v>
      </c>
      <c r="I527">
        <v>129130.6</v>
      </c>
      <c r="J527">
        <v>6</v>
      </c>
      <c r="K527">
        <v>6</v>
      </c>
      <c r="L527" t="s">
        <v>30</v>
      </c>
      <c r="M527" t="s">
        <v>43</v>
      </c>
      <c r="N527" t="s">
        <v>612</v>
      </c>
    </row>
    <row r="528" spans="1:14" x14ac:dyDescent="0.25">
      <c r="A528" t="s">
        <v>49</v>
      </c>
      <c r="B528" t="s">
        <v>50</v>
      </c>
      <c r="C528" t="s">
        <v>51</v>
      </c>
      <c r="D528" s="13">
        <v>45492</v>
      </c>
      <c r="E528" t="s">
        <v>306</v>
      </c>
      <c r="F528">
        <v>23266.98</v>
      </c>
      <c r="G528">
        <v>17078.48</v>
      </c>
      <c r="H528">
        <v>101465.29</v>
      </c>
      <c r="I528">
        <v>34733.440000000002</v>
      </c>
      <c r="J528">
        <v>6</v>
      </c>
      <c r="K528">
        <v>4</v>
      </c>
      <c r="L528" t="s">
        <v>30</v>
      </c>
      <c r="M528" t="s">
        <v>611</v>
      </c>
      <c r="N528" t="s">
        <v>612</v>
      </c>
    </row>
    <row r="529" spans="1:14" x14ac:dyDescent="0.25">
      <c r="A529" t="s">
        <v>55</v>
      </c>
      <c r="B529" t="s">
        <v>56</v>
      </c>
      <c r="C529" t="s">
        <v>51</v>
      </c>
      <c r="D529" s="13">
        <v>45492</v>
      </c>
      <c r="E529" t="s">
        <v>306</v>
      </c>
      <c r="F529">
        <v>46574</v>
      </c>
      <c r="G529">
        <v>26356.85</v>
      </c>
      <c r="H529">
        <v>213565.56</v>
      </c>
      <c r="I529">
        <v>67317.27</v>
      </c>
      <c r="J529">
        <v>5</v>
      </c>
      <c r="K529">
        <v>6</v>
      </c>
      <c r="L529" t="s">
        <v>112</v>
      </c>
      <c r="M529" t="s">
        <v>611</v>
      </c>
      <c r="N529" t="s">
        <v>612</v>
      </c>
    </row>
    <row r="530" spans="1:14" x14ac:dyDescent="0.25">
      <c r="A530" t="s">
        <v>59</v>
      </c>
      <c r="B530" t="s">
        <v>60</v>
      </c>
      <c r="C530" t="s">
        <v>51</v>
      </c>
      <c r="D530" s="13">
        <v>45492</v>
      </c>
      <c r="E530" t="s">
        <v>306</v>
      </c>
      <c r="F530">
        <v>51940</v>
      </c>
      <c r="G530">
        <v>20233.84</v>
      </c>
      <c r="H530">
        <v>135168.34</v>
      </c>
      <c r="I530">
        <v>37958.269999999997</v>
      </c>
      <c r="J530">
        <v>1</v>
      </c>
      <c r="K530">
        <v>8</v>
      </c>
      <c r="L530" t="s">
        <v>30</v>
      </c>
      <c r="M530" t="s">
        <v>611</v>
      </c>
      <c r="N530" t="s">
        <v>612</v>
      </c>
    </row>
    <row r="531" spans="1:14" x14ac:dyDescent="0.25">
      <c r="A531" t="s">
        <v>62</v>
      </c>
      <c r="B531" t="s">
        <v>63</v>
      </c>
      <c r="C531" t="s">
        <v>51</v>
      </c>
      <c r="D531" s="13">
        <v>45492</v>
      </c>
      <c r="E531" t="s">
        <v>306</v>
      </c>
      <c r="F531">
        <v>76133.119999999995</v>
      </c>
      <c r="G531">
        <v>35569.449999999997</v>
      </c>
      <c r="H531">
        <v>217482.69</v>
      </c>
      <c r="I531">
        <v>55120.69</v>
      </c>
      <c r="J531">
        <v>1</v>
      </c>
      <c r="K531">
        <v>5</v>
      </c>
      <c r="L531" t="s">
        <v>30</v>
      </c>
      <c r="M531" t="s">
        <v>73</v>
      </c>
      <c r="N531" t="s">
        <v>612</v>
      </c>
    </row>
    <row r="532" spans="1:14" x14ac:dyDescent="0.25">
      <c r="A532" t="s">
        <v>66</v>
      </c>
      <c r="B532" t="s">
        <v>67</v>
      </c>
      <c r="C532" t="s">
        <v>51</v>
      </c>
      <c r="D532" s="13">
        <v>45492</v>
      </c>
      <c r="E532" t="s">
        <v>306</v>
      </c>
      <c r="F532">
        <v>40398.120000000003</v>
      </c>
      <c r="G532">
        <v>25256.36</v>
      </c>
      <c r="H532">
        <v>170007.52</v>
      </c>
      <c r="I532">
        <v>34522.99</v>
      </c>
      <c r="J532">
        <v>5</v>
      </c>
      <c r="K532">
        <v>3</v>
      </c>
      <c r="L532" t="s">
        <v>30</v>
      </c>
      <c r="M532" t="s">
        <v>127</v>
      </c>
      <c r="N532" t="s">
        <v>612</v>
      </c>
    </row>
    <row r="533" spans="1:14" x14ac:dyDescent="0.25">
      <c r="A533" t="s">
        <v>68</v>
      </c>
      <c r="B533" t="s">
        <v>69</v>
      </c>
      <c r="C533" t="s">
        <v>51</v>
      </c>
      <c r="D533" s="13">
        <v>45492</v>
      </c>
      <c r="E533" t="s">
        <v>306</v>
      </c>
      <c r="F533">
        <v>56514.080000000002</v>
      </c>
      <c r="G533">
        <v>35998.11</v>
      </c>
      <c r="H533">
        <v>207460.2</v>
      </c>
      <c r="I533">
        <v>52173.33</v>
      </c>
      <c r="J533">
        <v>4</v>
      </c>
      <c r="K533">
        <v>6</v>
      </c>
      <c r="L533" t="s">
        <v>30</v>
      </c>
      <c r="M533" t="s">
        <v>43</v>
      </c>
      <c r="N533" t="s">
        <v>612</v>
      </c>
    </row>
    <row r="534" spans="1:14" x14ac:dyDescent="0.25">
      <c r="A534" t="s">
        <v>74</v>
      </c>
      <c r="B534" t="s">
        <v>75</v>
      </c>
      <c r="C534" t="s">
        <v>51</v>
      </c>
      <c r="D534" s="13">
        <v>45492</v>
      </c>
      <c r="E534" t="s">
        <v>306</v>
      </c>
      <c r="F534">
        <v>83994.74</v>
      </c>
      <c r="G534">
        <v>38696.980000000003</v>
      </c>
      <c r="H534">
        <v>236431.73</v>
      </c>
      <c r="I534">
        <v>61159.53</v>
      </c>
      <c r="J534">
        <v>5</v>
      </c>
      <c r="K534">
        <v>7</v>
      </c>
      <c r="L534" t="s">
        <v>30</v>
      </c>
      <c r="M534" t="s">
        <v>611</v>
      </c>
      <c r="N534" t="s">
        <v>612</v>
      </c>
    </row>
    <row r="535" spans="1:14" x14ac:dyDescent="0.25">
      <c r="A535" t="s">
        <v>78</v>
      </c>
      <c r="B535" t="s">
        <v>79</v>
      </c>
      <c r="C535" t="s">
        <v>137</v>
      </c>
      <c r="D535" s="13">
        <v>45492</v>
      </c>
      <c r="E535" t="s">
        <v>306</v>
      </c>
      <c r="F535">
        <v>31336.48</v>
      </c>
      <c r="G535">
        <v>17765.39</v>
      </c>
      <c r="H535">
        <v>2852.02</v>
      </c>
      <c r="I535">
        <v>583.26</v>
      </c>
      <c r="J535">
        <v>9</v>
      </c>
      <c r="K535">
        <v>10</v>
      </c>
      <c r="L535" t="s">
        <v>30</v>
      </c>
      <c r="M535" t="s">
        <v>611</v>
      </c>
      <c r="N535" t="s">
        <v>613</v>
      </c>
    </row>
    <row r="536" spans="1:14" x14ac:dyDescent="0.25">
      <c r="A536" t="s">
        <v>82</v>
      </c>
      <c r="B536" t="s">
        <v>83</v>
      </c>
      <c r="C536" t="s">
        <v>137</v>
      </c>
      <c r="D536" s="13">
        <v>45492</v>
      </c>
      <c r="E536" t="s">
        <v>306</v>
      </c>
      <c r="F536">
        <v>28874.07</v>
      </c>
      <c r="G536">
        <v>10024.51</v>
      </c>
      <c r="H536">
        <v>2147</v>
      </c>
      <c r="I536">
        <v>534.15</v>
      </c>
      <c r="J536">
        <v>4</v>
      </c>
      <c r="K536">
        <v>10</v>
      </c>
      <c r="L536" t="s">
        <v>30</v>
      </c>
      <c r="M536" t="s">
        <v>105</v>
      </c>
      <c r="N536" t="s">
        <v>613</v>
      </c>
    </row>
    <row r="537" spans="1:14" x14ac:dyDescent="0.25">
      <c r="A537" t="s">
        <v>84</v>
      </c>
      <c r="B537" t="s">
        <v>85</v>
      </c>
      <c r="C537" t="s">
        <v>137</v>
      </c>
      <c r="D537" s="13">
        <v>45492</v>
      </c>
      <c r="E537" t="s">
        <v>306</v>
      </c>
      <c r="F537">
        <v>28024.95</v>
      </c>
      <c r="G537">
        <v>15280.09</v>
      </c>
      <c r="H537">
        <v>90341.85</v>
      </c>
      <c r="I537">
        <v>25303.84</v>
      </c>
      <c r="J537">
        <v>7</v>
      </c>
      <c r="K537">
        <v>6</v>
      </c>
      <c r="L537" t="s">
        <v>112</v>
      </c>
      <c r="M537" t="s">
        <v>113</v>
      </c>
      <c r="N537" t="s">
        <v>612</v>
      </c>
    </row>
    <row r="538" spans="1:14" x14ac:dyDescent="0.25">
      <c r="A538" t="s">
        <v>87</v>
      </c>
      <c r="B538" t="s">
        <v>88</v>
      </c>
      <c r="C538" t="s">
        <v>137</v>
      </c>
      <c r="D538" s="13">
        <v>45492</v>
      </c>
      <c r="E538" t="s">
        <v>306</v>
      </c>
      <c r="F538">
        <v>8920.26</v>
      </c>
      <c r="G538">
        <v>5186.58</v>
      </c>
      <c r="H538">
        <v>23251.360000000001</v>
      </c>
      <c r="I538">
        <v>7990.92</v>
      </c>
      <c r="J538">
        <v>9</v>
      </c>
      <c r="K538">
        <v>9</v>
      </c>
      <c r="L538" t="s">
        <v>112</v>
      </c>
      <c r="M538" t="s">
        <v>611</v>
      </c>
      <c r="N538" t="s">
        <v>612</v>
      </c>
    </row>
    <row r="539" spans="1:14" x14ac:dyDescent="0.25">
      <c r="A539" t="s">
        <v>90</v>
      </c>
      <c r="B539" t="s">
        <v>91</v>
      </c>
      <c r="C539" t="s">
        <v>137</v>
      </c>
      <c r="D539" s="13">
        <v>45492</v>
      </c>
      <c r="E539" t="s">
        <v>306</v>
      </c>
      <c r="F539">
        <v>12711.42</v>
      </c>
      <c r="G539">
        <v>7387.71</v>
      </c>
      <c r="H539">
        <v>42560.71</v>
      </c>
      <c r="I539">
        <v>13352.93</v>
      </c>
      <c r="J539">
        <v>6</v>
      </c>
      <c r="K539">
        <v>11</v>
      </c>
      <c r="L539" t="s">
        <v>30</v>
      </c>
      <c r="M539" t="s">
        <v>611</v>
      </c>
      <c r="N539" t="s">
        <v>612</v>
      </c>
    </row>
    <row r="540" spans="1:14" x14ac:dyDescent="0.25">
      <c r="A540" t="s">
        <v>93</v>
      </c>
      <c r="B540" t="s">
        <v>94</v>
      </c>
      <c r="C540" t="s">
        <v>137</v>
      </c>
      <c r="D540" s="13">
        <v>45492</v>
      </c>
      <c r="E540" t="s">
        <v>306</v>
      </c>
      <c r="F540">
        <v>36450.33</v>
      </c>
      <c r="G540">
        <v>15215.42</v>
      </c>
      <c r="H540">
        <v>8033.88</v>
      </c>
      <c r="I540">
        <v>1663.5</v>
      </c>
      <c r="J540">
        <v>3</v>
      </c>
      <c r="K540">
        <v>15</v>
      </c>
      <c r="L540" t="s">
        <v>30</v>
      </c>
      <c r="M540" t="s">
        <v>125</v>
      </c>
      <c r="N540" t="s">
        <v>613</v>
      </c>
    </row>
    <row r="541" spans="1:14" x14ac:dyDescent="0.25">
      <c r="A541" t="s">
        <v>96</v>
      </c>
      <c r="B541" t="s">
        <v>97</v>
      </c>
      <c r="C541" t="s">
        <v>137</v>
      </c>
      <c r="D541" s="13">
        <v>45492</v>
      </c>
      <c r="E541" t="s">
        <v>306</v>
      </c>
      <c r="F541">
        <v>18370.25</v>
      </c>
      <c r="G541">
        <v>11655.47</v>
      </c>
      <c r="H541">
        <v>74027.7</v>
      </c>
      <c r="I541">
        <v>23981.74</v>
      </c>
      <c r="J541">
        <v>3</v>
      </c>
      <c r="K541">
        <v>2</v>
      </c>
      <c r="L541" t="s">
        <v>30</v>
      </c>
      <c r="M541" t="s">
        <v>101</v>
      </c>
      <c r="N541" t="s">
        <v>612</v>
      </c>
    </row>
    <row r="542" spans="1:14" x14ac:dyDescent="0.25">
      <c r="A542" t="s">
        <v>14</v>
      </c>
      <c r="B542" t="s">
        <v>15</v>
      </c>
      <c r="C542" t="s">
        <v>16</v>
      </c>
      <c r="D542" s="13">
        <v>45499</v>
      </c>
      <c r="E542" t="s">
        <v>306</v>
      </c>
      <c r="F542">
        <v>148754.42000000001</v>
      </c>
      <c r="G542">
        <v>73648.210000000006</v>
      </c>
      <c r="H542">
        <v>533308.04</v>
      </c>
      <c r="I542">
        <v>167619.1</v>
      </c>
      <c r="J542">
        <v>1</v>
      </c>
      <c r="K542">
        <v>3</v>
      </c>
      <c r="L542" t="s">
        <v>30</v>
      </c>
      <c r="M542" t="s">
        <v>611</v>
      </c>
      <c r="N542" t="s">
        <v>612</v>
      </c>
    </row>
    <row r="543" spans="1:14" x14ac:dyDescent="0.25">
      <c r="A543" t="s">
        <v>21</v>
      </c>
      <c r="B543" t="s">
        <v>22</v>
      </c>
      <c r="C543" t="s">
        <v>16</v>
      </c>
      <c r="D543" s="13">
        <v>45499</v>
      </c>
      <c r="E543" t="s">
        <v>306</v>
      </c>
      <c r="F543">
        <v>147918.54999999999</v>
      </c>
      <c r="G543">
        <v>102281.71</v>
      </c>
      <c r="H543">
        <v>6646223</v>
      </c>
      <c r="I543">
        <v>190759.82</v>
      </c>
      <c r="J543">
        <v>1</v>
      </c>
      <c r="K543">
        <v>3</v>
      </c>
      <c r="L543" t="s">
        <v>30</v>
      </c>
      <c r="M543" t="s">
        <v>611</v>
      </c>
      <c r="N543" t="s">
        <v>612</v>
      </c>
    </row>
    <row r="544" spans="1:14" x14ac:dyDescent="0.25">
      <c r="A544" t="s">
        <v>27</v>
      </c>
      <c r="B544" t="s">
        <v>28</v>
      </c>
      <c r="C544" t="s">
        <v>16</v>
      </c>
      <c r="D544" s="13">
        <v>45499</v>
      </c>
      <c r="E544" t="s">
        <v>306</v>
      </c>
      <c r="F544">
        <v>202006.27</v>
      </c>
      <c r="G544">
        <v>93923.91</v>
      </c>
      <c r="H544">
        <v>935892.62</v>
      </c>
      <c r="I544">
        <v>248019.02</v>
      </c>
      <c r="J544">
        <v>4</v>
      </c>
      <c r="K544">
        <v>4</v>
      </c>
      <c r="L544" t="s">
        <v>30</v>
      </c>
      <c r="M544" t="s">
        <v>31</v>
      </c>
      <c r="N544" t="s">
        <v>612</v>
      </c>
    </row>
    <row r="545" spans="1:14" x14ac:dyDescent="0.25">
      <c r="A545" t="s">
        <v>32</v>
      </c>
      <c r="B545" t="s">
        <v>33</v>
      </c>
      <c r="C545" t="s">
        <v>16</v>
      </c>
      <c r="D545" s="13">
        <v>45499</v>
      </c>
      <c r="E545" t="s">
        <v>306</v>
      </c>
      <c r="F545">
        <v>204323.92</v>
      </c>
      <c r="G545">
        <v>100291.72</v>
      </c>
      <c r="H545">
        <v>982887.09</v>
      </c>
      <c r="I545">
        <v>323670.55</v>
      </c>
      <c r="J545">
        <v>2</v>
      </c>
      <c r="K545">
        <v>6</v>
      </c>
      <c r="L545" t="s">
        <v>30</v>
      </c>
      <c r="M545" t="s">
        <v>611</v>
      </c>
      <c r="N545" t="s">
        <v>612</v>
      </c>
    </row>
    <row r="546" spans="1:14" x14ac:dyDescent="0.25">
      <c r="A546" t="s">
        <v>39</v>
      </c>
      <c r="B546" t="s">
        <v>40</v>
      </c>
      <c r="C546" t="s">
        <v>16</v>
      </c>
      <c r="D546" s="13">
        <v>45499</v>
      </c>
      <c r="E546" t="s">
        <v>306</v>
      </c>
      <c r="F546">
        <v>117871.18</v>
      </c>
      <c r="G546">
        <v>53881.27</v>
      </c>
      <c r="H546">
        <v>486317.9</v>
      </c>
      <c r="I546">
        <v>112622.04</v>
      </c>
      <c r="J546">
        <v>2</v>
      </c>
      <c r="K546">
        <v>4</v>
      </c>
      <c r="L546" t="s">
        <v>30</v>
      </c>
      <c r="M546" t="s">
        <v>611</v>
      </c>
      <c r="N546" t="s">
        <v>612</v>
      </c>
    </row>
    <row r="547" spans="1:14" x14ac:dyDescent="0.25">
      <c r="A547" t="s">
        <v>44</v>
      </c>
      <c r="B547" t="s">
        <v>45</v>
      </c>
      <c r="C547" t="s">
        <v>16</v>
      </c>
      <c r="D547" s="13">
        <v>45499</v>
      </c>
      <c r="E547" t="s">
        <v>306</v>
      </c>
      <c r="F547">
        <v>1778361</v>
      </c>
      <c r="G547">
        <v>94953.54</v>
      </c>
      <c r="H547">
        <v>494654.26</v>
      </c>
      <c r="I547">
        <v>140808.79999999999</v>
      </c>
      <c r="J547">
        <v>3</v>
      </c>
      <c r="K547">
        <v>3</v>
      </c>
      <c r="L547" t="s">
        <v>30</v>
      </c>
      <c r="M547" t="s">
        <v>105</v>
      </c>
      <c r="N547" t="s">
        <v>613</v>
      </c>
    </row>
    <row r="548" spans="1:14" x14ac:dyDescent="0.25">
      <c r="A548" t="s">
        <v>49</v>
      </c>
      <c r="B548" t="s">
        <v>50</v>
      </c>
      <c r="C548" t="s">
        <v>51</v>
      </c>
      <c r="D548" s="13">
        <v>45499</v>
      </c>
      <c r="E548" t="s">
        <v>306</v>
      </c>
      <c r="F548">
        <v>27052.57</v>
      </c>
      <c r="G548">
        <v>15871.02</v>
      </c>
      <c r="H548">
        <v>108373.66</v>
      </c>
      <c r="I548">
        <v>37895.57</v>
      </c>
      <c r="J548">
        <v>2</v>
      </c>
      <c r="K548">
        <v>6</v>
      </c>
      <c r="L548" t="s">
        <v>30</v>
      </c>
      <c r="M548" t="s">
        <v>611</v>
      </c>
      <c r="N548" t="s">
        <v>612</v>
      </c>
    </row>
    <row r="549" spans="1:14" x14ac:dyDescent="0.25">
      <c r="A549" t="s">
        <v>55</v>
      </c>
      <c r="B549" t="s">
        <v>56</v>
      </c>
      <c r="C549" t="s">
        <v>51</v>
      </c>
      <c r="D549" s="13">
        <v>45499</v>
      </c>
      <c r="E549" t="s">
        <v>306</v>
      </c>
      <c r="F549">
        <v>81525.61</v>
      </c>
      <c r="G549">
        <v>41622.39</v>
      </c>
      <c r="H549">
        <v>362831.44</v>
      </c>
      <c r="I549">
        <v>105627.29</v>
      </c>
      <c r="J549">
        <v>5</v>
      </c>
      <c r="K549">
        <v>6</v>
      </c>
      <c r="L549" t="s">
        <v>112</v>
      </c>
      <c r="M549" t="s">
        <v>43</v>
      </c>
      <c r="N549" t="s">
        <v>612</v>
      </c>
    </row>
    <row r="550" spans="1:14" x14ac:dyDescent="0.25">
      <c r="A550" t="s">
        <v>59</v>
      </c>
      <c r="B550" t="s">
        <v>60</v>
      </c>
      <c r="C550" t="s">
        <v>51</v>
      </c>
      <c r="D550" s="13">
        <v>45499</v>
      </c>
      <c r="E550" t="s">
        <v>306</v>
      </c>
      <c r="F550">
        <v>83025.06</v>
      </c>
      <c r="G550">
        <v>29070.77</v>
      </c>
      <c r="H550">
        <v>215007.43</v>
      </c>
      <c r="I550">
        <v>54794.03</v>
      </c>
      <c r="J550">
        <v>4</v>
      </c>
      <c r="K550">
        <v>3</v>
      </c>
      <c r="L550" t="s">
        <v>112</v>
      </c>
      <c r="M550" t="s">
        <v>611</v>
      </c>
      <c r="N550" t="s">
        <v>612</v>
      </c>
    </row>
    <row r="551" spans="1:14" x14ac:dyDescent="0.25">
      <c r="A551" t="s">
        <v>62</v>
      </c>
      <c r="B551" t="s">
        <v>63</v>
      </c>
      <c r="C551" t="s">
        <v>51</v>
      </c>
      <c r="D551" s="13">
        <v>45499</v>
      </c>
      <c r="E551" t="s">
        <v>306</v>
      </c>
      <c r="F551">
        <v>31130.91</v>
      </c>
      <c r="G551">
        <v>16773.46</v>
      </c>
      <c r="H551">
        <v>93838.69</v>
      </c>
      <c r="I551">
        <v>23767.88</v>
      </c>
      <c r="J551">
        <v>1</v>
      </c>
      <c r="K551">
        <v>4</v>
      </c>
      <c r="L551" t="s">
        <v>30</v>
      </c>
      <c r="M551" t="s">
        <v>611</v>
      </c>
      <c r="N551" t="s">
        <v>612</v>
      </c>
    </row>
    <row r="552" spans="1:14" x14ac:dyDescent="0.25">
      <c r="A552" t="s">
        <v>66</v>
      </c>
      <c r="B552" t="s">
        <v>67</v>
      </c>
      <c r="C552" t="s">
        <v>51</v>
      </c>
      <c r="D552" s="13">
        <v>45499</v>
      </c>
      <c r="E552" t="s">
        <v>306</v>
      </c>
      <c r="F552">
        <v>31640.71</v>
      </c>
      <c r="G552">
        <v>18171.45</v>
      </c>
      <c r="H552">
        <v>141007.82</v>
      </c>
      <c r="I552">
        <v>43417.45</v>
      </c>
      <c r="J552">
        <v>1</v>
      </c>
      <c r="K552">
        <v>7</v>
      </c>
      <c r="L552" t="s">
        <v>30</v>
      </c>
      <c r="M552" t="s">
        <v>105</v>
      </c>
      <c r="N552" t="s">
        <v>612</v>
      </c>
    </row>
    <row r="553" spans="1:14" x14ac:dyDescent="0.25">
      <c r="A553" t="s">
        <v>68</v>
      </c>
      <c r="B553" t="s">
        <v>69</v>
      </c>
      <c r="C553" t="s">
        <v>51</v>
      </c>
      <c r="D553" s="13">
        <v>45499</v>
      </c>
      <c r="E553" t="s">
        <v>306</v>
      </c>
      <c r="F553">
        <v>30911</v>
      </c>
      <c r="G553">
        <v>19789.02</v>
      </c>
      <c r="H553">
        <v>1594462</v>
      </c>
      <c r="I553">
        <v>35571.269999999997</v>
      </c>
      <c r="J553">
        <v>5</v>
      </c>
      <c r="K553">
        <v>2</v>
      </c>
      <c r="L553" t="s">
        <v>30</v>
      </c>
      <c r="M553" t="s">
        <v>611</v>
      </c>
      <c r="N553" t="s">
        <v>612</v>
      </c>
    </row>
    <row r="554" spans="1:14" x14ac:dyDescent="0.25">
      <c r="A554" t="s">
        <v>74</v>
      </c>
      <c r="B554" t="s">
        <v>75</v>
      </c>
      <c r="C554" t="s">
        <v>51</v>
      </c>
      <c r="D554" s="13">
        <v>45499</v>
      </c>
      <c r="E554" t="s">
        <v>306</v>
      </c>
      <c r="F554">
        <v>80855.56</v>
      </c>
      <c r="G554">
        <v>36664.22</v>
      </c>
      <c r="H554">
        <v>296424.46999999997</v>
      </c>
      <c r="I554">
        <v>77555.12</v>
      </c>
      <c r="J554">
        <v>5</v>
      </c>
      <c r="K554">
        <v>1</v>
      </c>
      <c r="L554" t="s">
        <v>30</v>
      </c>
      <c r="M554" t="s">
        <v>31</v>
      </c>
      <c r="N554" t="s">
        <v>612</v>
      </c>
    </row>
    <row r="555" spans="1:14" x14ac:dyDescent="0.25">
      <c r="A555" t="s">
        <v>78</v>
      </c>
      <c r="B555" t="s">
        <v>79</v>
      </c>
      <c r="C555" t="s">
        <v>137</v>
      </c>
      <c r="D555" s="13">
        <v>45499</v>
      </c>
      <c r="E555" t="s">
        <v>306</v>
      </c>
      <c r="F555">
        <v>21363.08</v>
      </c>
      <c r="G555">
        <v>10358.94</v>
      </c>
      <c r="H555">
        <v>1557.14</v>
      </c>
      <c r="I555">
        <v>290.48</v>
      </c>
      <c r="J555">
        <v>12</v>
      </c>
      <c r="K555">
        <v>15</v>
      </c>
      <c r="L555" t="s">
        <v>30</v>
      </c>
      <c r="M555" t="s">
        <v>113</v>
      </c>
      <c r="N555" t="s">
        <v>613</v>
      </c>
    </row>
    <row r="556" spans="1:14" x14ac:dyDescent="0.25">
      <c r="A556" t="s">
        <v>82</v>
      </c>
      <c r="B556" t="s">
        <v>83</v>
      </c>
      <c r="C556" t="s">
        <v>137</v>
      </c>
      <c r="D556" s="13">
        <v>45499</v>
      </c>
      <c r="E556" t="s">
        <v>306</v>
      </c>
      <c r="F556">
        <v>42735.64</v>
      </c>
      <c r="G556">
        <v>17760.38</v>
      </c>
      <c r="H556">
        <v>1185502</v>
      </c>
      <c r="I556">
        <v>23610.46</v>
      </c>
      <c r="J556">
        <v>3</v>
      </c>
      <c r="K556">
        <v>7</v>
      </c>
      <c r="L556" t="s">
        <v>30</v>
      </c>
      <c r="M556" t="s">
        <v>611</v>
      </c>
      <c r="N556" t="s">
        <v>612</v>
      </c>
    </row>
    <row r="557" spans="1:14" x14ac:dyDescent="0.25">
      <c r="A557" t="s">
        <v>84</v>
      </c>
      <c r="B557" t="s">
        <v>85</v>
      </c>
      <c r="C557" t="s">
        <v>137</v>
      </c>
      <c r="D557" s="13">
        <v>45499</v>
      </c>
      <c r="E557" t="s">
        <v>306</v>
      </c>
      <c r="F557">
        <v>18117.32</v>
      </c>
      <c r="G557">
        <v>9218.32</v>
      </c>
      <c r="H557">
        <v>4276.8100000000004</v>
      </c>
      <c r="I557">
        <v>1432.81</v>
      </c>
      <c r="J557">
        <v>2</v>
      </c>
      <c r="K557">
        <v>2</v>
      </c>
      <c r="L557" t="s">
        <v>30</v>
      </c>
      <c r="M557" t="s">
        <v>26</v>
      </c>
      <c r="N557" t="s">
        <v>613</v>
      </c>
    </row>
    <row r="558" spans="1:14" x14ac:dyDescent="0.25">
      <c r="A558" t="s">
        <v>87</v>
      </c>
      <c r="B558" t="s">
        <v>88</v>
      </c>
      <c r="C558" t="s">
        <v>137</v>
      </c>
      <c r="D558" s="13">
        <v>45499</v>
      </c>
      <c r="E558" t="s">
        <v>306</v>
      </c>
      <c r="F558">
        <v>33882.879999999997</v>
      </c>
      <c r="G558">
        <v>19078.79</v>
      </c>
      <c r="H558">
        <v>138100.21</v>
      </c>
      <c r="I558">
        <v>37511.39</v>
      </c>
      <c r="J558">
        <v>3</v>
      </c>
      <c r="K558">
        <v>11</v>
      </c>
      <c r="L558" t="s">
        <v>30</v>
      </c>
      <c r="M558" t="s">
        <v>611</v>
      </c>
      <c r="N558" t="s">
        <v>612</v>
      </c>
    </row>
    <row r="559" spans="1:14" x14ac:dyDescent="0.25">
      <c r="A559" t="s">
        <v>90</v>
      </c>
      <c r="B559" t="s">
        <v>91</v>
      </c>
      <c r="C559" t="s">
        <v>137</v>
      </c>
      <c r="D559" s="13">
        <v>45499</v>
      </c>
      <c r="E559" t="s">
        <v>306</v>
      </c>
      <c r="F559">
        <v>28726.37</v>
      </c>
      <c r="G559">
        <v>15545.69</v>
      </c>
      <c r="H559">
        <v>141649.51999999999</v>
      </c>
      <c r="I559">
        <v>36212.879999999997</v>
      </c>
      <c r="J559">
        <v>8</v>
      </c>
      <c r="K559">
        <v>13</v>
      </c>
      <c r="L559" t="s">
        <v>30</v>
      </c>
      <c r="M559" t="s">
        <v>43</v>
      </c>
      <c r="N559" t="s">
        <v>612</v>
      </c>
    </row>
    <row r="560" spans="1:14" x14ac:dyDescent="0.25">
      <c r="A560" t="s">
        <v>93</v>
      </c>
      <c r="B560" t="s">
        <v>94</v>
      </c>
      <c r="C560" t="s">
        <v>137</v>
      </c>
      <c r="D560" s="13">
        <v>45499</v>
      </c>
      <c r="E560" t="s">
        <v>306</v>
      </c>
      <c r="F560">
        <v>19982.63</v>
      </c>
      <c r="G560">
        <v>8522.2999999999993</v>
      </c>
      <c r="H560">
        <v>662959</v>
      </c>
      <c r="I560">
        <v>14691.76</v>
      </c>
      <c r="J560">
        <v>3</v>
      </c>
      <c r="K560">
        <v>11</v>
      </c>
      <c r="L560" t="s">
        <v>30</v>
      </c>
      <c r="M560" t="s">
        <v>611</v>
      </c>
      <c r="N560" t="s">
        <v>612</v>
      </c>
    </row>
    <row r="561" spans="1:14" x14ac:dyDescent="0.25">
      <c r="A561" t="s">
        <v>96</v>
      </c>
      <c r="B561" t="s">
        <v>97</v>
      </c>
      <c r="C561" t="s">
        <v>137</v>
      </c>
      <c r="D561" s="13">
        <v>45499</v>
      </c>
      <c r="E561" t="s">
        <v>306</v>
      </c>
      <c r="F561">
        <v>20686.23</v>
      </c>
      <c r="G561">
        <v>12905.97</v>
      </c>
      <c r="H561">
        <v>74026.69</v>
      </c>
      <c r="I561">
        <v>25782.66</v>
      </c>
      <c r="J561">
        <v>4</v>
      </c>
      <c r="K561">
        <v>15</v>
      </c>
      <c r="L561" t="s">
        <v>30</v>
      </c>
      <c r="M561" t="s">
        <v>611</v>
      </c>
      <c r="N561" t="s">
        <v>612</v>
      </c>
    </row>
    <row r="562" spans="1:14" x14ac:dyDescent="0.25">
      <c r="A562" t="s">
        <v>14</v>
      </c>
      <c r="B562" t="s">
        <v>15</v>
      </c>
      <c r="C562" t="s">
        <v>16</v>
      </c>
      <c r="D562" s="13">
        <v>45506</v>
      </c>
      <c r="E562" t="s">
        <v>306</v>
      </c>
      <c r="F562">
        <v>166328.14000000001</v>
      </c>
      <c r="G562">
        <v>76352.52</v>
      </c>
      <c r="H562">
        <v>810816.04</v>
      </c>
      <c r="I562">
        <v>232899.97</v>
      </c>
      <c r="J562">
        <v>6</v>
      </c>
      <c r="K562">
        <v>6</v>
      </c>
      <c r="L562" t="s">
        <v>30</v>
      </c>
      <c r="M562" t="s">
        <v>611</v>
      </c>
      <c r="N562" t="s">
        <v>612</v>
      </c>
    </row>
    <row r="563" spans="1:14" x14ac:dyDescent="0.25">
      <c r="A563" t="s">
        <v>21</v>
      </c>
      <c r="B563" t="s">
        <v>22</v>
      </c>
      <c r="C563" t="s">
        <v>16</v>
      </c>
      <c r="D563" s="13">
        <v>45506</v>
      </c>
      <c r="E563" t="s">
        <v>306</v>
      </c>
      <c r="F563">
        <v>129237.15</v>
      </c>
      <c r="G563">
        <v>94300.44</v>
      </c>
      <c r="H563">
        <v>628340.71</v>
      </c>
      <c r="I563">
        <v>144863.48000000001</v>
      </c>
      <c r="J563">
        <v>3</v>
      </c>
      <c r="K563">
        <v>5</v>
      </c>
      <c r="L563" t="s">
        <v>30</v>
      </c>
      <c r="M563" t="s">
        <v>101</v>
      </c>
      <c r="N563" t="s">
        <v>612</v>
      </c>
    </row>
    <row r="564" spans="1:14" x14ac:dyDescent="0.25">
      <c r="A564" t="s">
        <v>27</v>
      </c>
      <c r="B564" t="s">
        <v>28</v>
      </c>
      <c r="C564" t="s">
        <v>16</v>
      </c>
      <c r="D564" s="13">
        <v>45506</v>
      </c>
      <c r="E564" t="s">
        <v>306</v>
      </c>
      <c r="F564">
        <v>118955.87</v>
      </c>
      <c r="G564">
        <v>61009.31</v>
      </c>
      <c r="H564">
        <v>382083.57</v>
      </c>
      <c r="I564">
        <v>86562.65</v>
      </c>
      <c r="J564">
        <v>4</v>
      </c>
      <c r="K564">
        <v>6</v>
      </c>
      <c r="L564" t="s">
        <v>30</v>
      </c>
      <c r="M564" t="s">
        <v>611</v>
      </c>
      <c r="N564" t="s">
        <v>612</v>
      </c>
    </row>
    <row r="565" spans="1:14" x14ac:dyDescent="0.25">
      <c r="A565" t="s">
        <v>32</v>
      </c>
      <c r="B565" t="s">
        <v>33</v>
      </c>
      <c r="C565" t="s">
        <v>16</v>
      </c>
      <c r="D565" s="13">
        <v>45506</v>
      </c>
      <c r="E565" t="s">
        <v>306</v>
      </c>
      <c r="F565">
        <v>83829.02</v>
      </c>
      <c r="G565">
        <v>53815.83</v>
      </c>
      <c r="H565">
        <v>210969.37</v>
      </c>
      <c r="I565">
        <v>38898.980000000003</v>
      </c>
      <c r="J565">
        <v>2</v>
      </c>
      <c r="K565">
        <v>4</v>
      </c>
      <c r="L565" t="s">
        <v>30</v>
      </c>
      <c r="M565" t="s">
        <v>127</v>
      </c>
      <c r="N565" t="s">
        <v>612</v>
      </c>
    </row>
    <row r="566" spans="1:14" x14ac:dyDescent="0.25">
      <c r="A566" t="s">
        <v>39</v>
      </c>
      <c r="B566" t="s">
        <v>40</v>
      </c>
      <c r="C566" t="s">
        <v>16</v>
      </c>
      <c r="D566" s="13">
        <v>45506</v>
      </c>
      <c r="E566" t="s">
        <v>306</v>
      </c>
      <c r="F566">
        <v>140517.23000000001</v>
      </c>
      <c r="G566">
        <v>87528.26</v>
      </c>
      <c r="H566">
        <v>608310.94999999995</v>
      </c>
      <c r="I566">
        <v>146075.29</v>
      </c>
      <c r="J566">
        <v>1</v>
      </c>
      <c r="K566">
        <v>5</v>
      </c>
      <c r="L566" t="s">
        <v>30</v>
      </c>
      <c r="M566" t="s">
        <v>26</v>
      </c>
      <c r="N566" t="s">
        <v>612</v>
      </c>
    </row>
    <row r="567" spans="1:14" x14ac:dyDescent="0.25">
      <c r="A567" t="s">
        <v>44</v>
      </c>
      <c r="B567" t="s">
        <v>45</v>
      </c>
      <c r="C567" t="s">
        <v>16</v>
      </c>
      <c r="D567" s="13">
        <v>45506</v>
      </c>
      <c r="E567" t="s">
        <v>306</v>
      </c>
      <c r="F567">
        <v>124073.39</v>
      </c>
      <c r="G567">
        <v>66587.149999999994</v>
      </c>
      <c r="H567">
        <v>369242</v>
      </c>
      <c r="I567">
        <v>119042.87</v>
      </c>
      <c r="J567">
        <v>6</v>
      </c>
      <c r="K567">
        <v>6</v>
      </c>
      <c r="L567" t="s">
        <v>30</v>
      </c>
      <c r="M567" t="s">
        <v>125</v>
      </c>
      <c r="N567" t="s">
        <v>612</v>
      </c>
    </row>
    <row r="568" spans="1:14" x14ac:dyDescent="0.25">
      <c r="A568" t="s">
        <v>49</v>
      </c>
      <c r="B568" t="s">
        <v>50</v>
      </c>
      <c r="C568" t="s">
        <v>51</v>
      </c>
      <c r="D568" s="13">
        <v>45506</v>
      </c>
      <c r="E568" t="s">
        <v>306</v>
      </c>
      <c r="F568">
        <v>33452.080000000002</v>
      </c>
      <c r="G568">
        <v>30059.65</v>
      </c>
      <c r="H568">
        <v>83897.62</v>
      </c>
      <c r="I568">
        <v>23056.35</v>
      </c>
      <c r="J568">
        <v>2</v>
      </c>
      <c r="K568">
        <v>4</v>
      </c>
      <c r="L568" t="s">
        <v>30</v>
      </c>
      <c r="M568" t="s">
        <v>73</v>
      </c>
      <c r="N568" t="s">
        <v>612</v>
      </c>
    </row>
    <row r="569" spans="1:14" x14ac:dyDescent="0.25">
      <c r="A569" t="s">
        <v>55</v>
      </c>
      <c r="B569" t="s">
        <v>56</v>
      </c>
      <c r="C569" t="s">
        <v>51</v>
      </c>
      <c r="D569" s="13">
        <v>45506</v>
      </c>
      <c r="E569" t="s">
        <v>306</v>
      </c>
      <c r="F569">
        <v>82502.34</v>
      </c>
      <c r="G569">
        <v>45214.95</v>
      </c>
      <c r="H569">
        <v>329564.3</v>
      </c>
      <c r="I569">
        <v>75872.600000000006</v>
      </c>
      <c r="J569">
        <v>2</v>
      </c>
      <c r="K569">
        <v>7</v>
      </c>
      <c r="L569" t="s">
        <v>30</v>
      </c>
      <c r="M569" t="s">
        <v>611</v>
      </c>
      <c r="N569" t="s">
        <v>612</v>
      </c>
    </row>
    <row r="570" spans="1:14" x14ac:dyDescent="0.25">
      <c r="A570" t="s">
        <v>59</v>
      </c>
      <c r="B570" t="s">
        <v>60</v>
      </c>
      <c r="C570" t="s">
        <v>51</v>
      </c>
      <c r="D570" s="13">
        <v>45506</v>
      </c>
      <c r="E570" t="s">
        <v>306</v>
      </c>
      <c r="F570">
        <v>97472.77</v>
      </c>
      <c r="G570">
        <v>44164.63</v>
      </c>
      <c r="H570">
        <v>390149.09</v>
      </c>
      <c r="I570">
        <v>72147.789999999994</v>
      </c>
      <c r="J570">
        <v>3</v>
      </c>
      <c r="K570">
        <v>8</v>
      </c>
      <c r="L570" t="s">
        <v>30</v>
      </c>
      <c r="M570" t="s">
        <v>31</v>
      </c>
      <c r="N570" t="s">
        <v>612</v>
      </c>
    </row>
    <row r="571" spans="1:14" x14ac:dyDescent="0.25">
      <c r="A571" t="s">
        <v>62</v>
      </c>
      <c r="B571" t="s">
        <v>63</v>
      </c>
      <c r="C571" t="s">
        <v>51</v>
      </c>
      <c r="D571" s="13">
        <v>45506</v>
      </c>
      <c r="E571" t="s">
        <v>306</v>
      </c>
      <c r="F571">
        <v>43136.89</v>
      </c>
      <c r="G571">
        <v>19805.259999999998</v>
      </c>
      <c r="H571">
        <v>152037</v>
      </c>
      <c r="I571">
        <v>31671.02</v>
      </c>
      <c r="J571">
        <v>2</v>
      </c>
      <c r="K571">
        <v>8</v>
      </c>
      <c r="L571" t="s">
        <v>30</v>
      </c>
      <c r="M571" t="s">
        <v>611</v>
      </c>
      <c r="N571" t="s">
        <v>612</v>
      </c>
    </row>
    <row r="572" spans="1:14" x14ac:dyDescent="0.25">
      <c r="A572" t="s">
        <v>66</v>
      </c>
      <c r="B572" t="s">
        <v>67</v>
      </c>
      <c r="C572" t="s">
        <v>51</v>
      </c>
      <c r="D572" s="13">
        <v>45506</v>
      </c>
      <c r="E572" t="s">
        <v>306</v>
      </c>
      <c r="F572">
        <v>76010.52</v>
      </c>
      <c r="G572">
        <v>44161.07</v>
      </c>
      <c r="H572">
        <v>8258834</v>
      </c>
      <c r="I572">
        <v>53498.17</v>
      </c>
      <c r="J572">
        <v>5</v>
      </c>
      <c r="K572">
        <v>4</v>
      </c>
      <c r="L572" t="s">
        <v>30</v>
      </c>
      <c r="M572" t="s">
        <v>611</v>
      </c>
      <c r="N572" t="s">
        <v>612</v>
      </c>
    </row>
    <row r="573" spans="1:14" x14ac:dyDescent="0.25">
      <c r="A573" t="s">
        <v>68</v>
      </c>
      <c r="B573" t="s">
        <v>69</v>
      </c>
      <c r="C573" t="s">
        <v>51</v>
      </c>
      <c r="D573" s="13">
        <v>45506</v>
      </c>
      <c r="E573" t="s">
        <v>306</v>
      </c>
      <c r="F573">
        <v>59094</v>
      </c>
      <c r="G573">
        <v>30155.27</v>
      </c>
      <c r="H573">
        <v>241037.84</v>
      </c>
      <c r="I573">
        <v>44770.91</v>
      </c>
      <c r="J573">
        <v>6</v>
      </c>
      <c r="K573">
        <v>4</v>
      </c>
      <c r="L573" t="s">
        <v>30</v>
      </c>
      <c r="M573" t="s">
        <v>611</v>
      </c>
      <c r="N573" t="s">
        <v>612</v>
      </c>
    </row>
    <row r="574" spans="1:14" x14ac:dyDescent="0.25">
      <c r="A574" t="s">
        <v>78</v>
      </c>
      <c r="B574" t="s">
        <v>79</v>
      </c>
      <c r="C574" t="s">
        <v>137</v>
      </c>
      <c r="D574" s="13">
        <v>45506</v>
      </c>
      <c r="E574" t="s">
        <v>306</v>
      </c>
      <c r="F574">
        <v>22625.84</v>
      </c>
      <c r="G574">
        <v>10614.04</v>
      </c>
      <c r="H574">
        <v>101398.85</v>
      </c>
      <c r="I574">
        <v>28692.59</v>
      </c>
      <c r="J574">
        <v>6</v>
      </c>
      <c r="K574">
        <v>11</v>
      </c>
      <c r="L574" t="s">
        <v>30</v>
      </c>
      <c r="M574" t="s">
        <v>73</v>
      </c>
      <c r="N574" t="s">
        <v>612</v>
      </c>
    </row>
    <row r="575" spans="1:14" x14ac:dyDescent="0.25">
      <c r="A575" t="s">
        <v>82</v>
      </c>
      <c r="B575" t="s">
        <v>83</v>
      </c>
      <c r="C575" t="s">
        <v>137</v>
      </c>
      <c r="D575" s="13">
        <v>45506</v>
      </c>
      <c r="E575" t="s">
        <v>306</v>
      </c>
      <c r="F575">
        <v>178591</v>
      </c>
      <c r="G575">
        <v>7096.8</v>
      </c>
      <c r="H575">
        <v>71259.8</v>
      </c>
      <c r="I575">
        <v>13035.28</v>
      </c>
      <c r="J575">
        <v>9</v>
      </c>
      <c r="K575">
        <v>13</v>
      </c>
      <c r="L575" t="s">
        <v>30</v>
      </c>
      <c r="M575" t="s">
        <v>73</v>
      </c>
      <c r="N575" t="s">
        <v>612</v>
      </c>
    </row>
    <row r="576" spans="1:14" x14ac:dyDescent="0.25">
      <c r="A576" t="s">
        <v>84</v>
      </c>
      <c r="B576" t="s">
        <v>85</v>
      </c>
      <c r="C576" t="s">
        <v>137</v>
      </c>
      <c r="D576" s="13">
        <v>45506</v>
      </c>
      <c r="E576" t="s">
        <v>306</v>
      </c>
      <c r="F576">
        <v>29861.38</v>
      </c>
      <c r="G576">
        <v>14007.31</v>
      </c>
      <c r="H576">
        <v>90157.62</v>
      </c>
      <c r="I576">
        <v>25323.439999999999</v>
      </c>
      <c r="J576">
        <v>3</v>
      </c>
      <c r="K576">
        <v>4</v>
      </c>
      <c r="L576" t="s">
        <v>30</v>
      </c>
      <c r="M576" t="s">
        <v>611</v>
      </c>
      <c r="N576" t="s">
        <v>612</v>
      </c>
    </row>
    <row r="577" spans="1:14" x14ac:dyDescent="0.25">
      <c r="A577" t="s">
        <v>87</v>
      </c>
      <c r="B577" t="s">
        <v>88</v>
      </c>
      <c r="C577" t="s">
        <v>137</v>
      </c>
      <c r="D577" s="13">
        <v>45506</v>
      </c>
      <c r="E577" t="s">
        <v>306</v>
      </c>
      <c r="F577">
        <v>24165.71</v>
      </c>
      <c r="G577">
        <v>12170.55</v>
      </c>
      <c r="H577">
        <v>106029.35</v>
      </c>
      <c r="I577">
        <v>28919.52</v>
      </c>
      <c r="J577">
        <v>7</v>
      </c>
      <c r="K577">
        <v>5</v>
      </c>
      <c r="L577" t="s">
        <v>112</v>
      </c>
      <c r="M577" t="s">
        <v>26</v>
      </c>
      <c r="N577" t="s">
        <v>612</v>
      </c>
    </row>
    <row r="578" spans="1:14" x14ac:dyDescent="0.25">
      <c r="A578" t="s">
        <v>90</v>
      </c>
      <c r="B578" t="s">
        <v>91</v>
      </c>
      <c r="C578" t="s">
        <v>137</v>
      </c>
      <c r="D578" s="13">
        <v>45506</v>
      </c>
      <c r="E578" t="s">
        <v>306</v>
      </c>
      <c r="F578">
        <v>628435</v>
      </c>
      <c r="G578">
        <v>17051.04</v>
      </c>
      <c r="H578">
        <v>85120.69</v>
      </c>
      <c r="I578">
        <v>16966.509999999998</v>
      </c>
      <c r="J578">
        <v>8</v>
      </c>
      <c r="K578">
        <v>4</v>
      </c>
      <c r="L578" t="s">
        <v>30</v>
      </c>
      <c r="M578" t="s">
        <v>31</v>
      </c>
      <c r="N578" t="s">
        <v>613</v>
      </c>
    </row>
    <row r="579" spans="1:14" x14ac:dyDescent="0.25">
      <c r="A579" t="s">
        <v>93</v>
      </c>
      <c r="B579" t="s">
        <v>94</v>
      </c>
      <c r="C579" t="s">
        <v>137</v>
      </c>
      <c r="D579" s="13">
        <v>45506</v>
      </c>
      <c r="E579" t="s">
        <v>306</v>
      </c>
      <c r="F579">
        <v>33590.07</v>
      </c>
      <c r="G579">
        <v>11769.96</v>
      </c>
      <c r="H579">
        <v>141500.18</v>
      </c>
      <c r="I579">
        <v>48370.31</v>
      </c>
      <c r="J579">
        <v>7</v>
      </c>
      <c r="K579">
        <v>10</v>
      </c>
      <c r="L579" t="s">
        <v>30</v>
      </c>
      <c r="M579" t="s">
        <v>611</v>
      </c>
      <c r="N579" t="s">
        <v>612</v>
      </c>
    </row>
    <row r="580" spans="1:14" x14ac:dyDescent="0.25">
      <c r="A580" t="s">
        <v>96</v>
      </c>
      <c r="B580" t="s">
        <v>97</v>
      </c>
      <c r="C580" t="s">
        <v>137</v>
      </c>
      <c r="D580" s="13">
        <v>45506</v>
      </c>
      <c r="E580" t="s">
        <v>306</v>
      </c>
      <c r="F580">
        <v>20794.5</v>
      </c>
      <c r="G580">
        <v>10102.91</v>
      </c>
      <c r="H580">
        <v>55471.83</v>
      </c>
      <c r="I580">
        <v>12925.65</v>
      </c>
      <c r="J580">
        <v>5</v>
      </c>
      <c r="K580">
        <v>9</v>
      </c>
      <c r="L580" t="s">
        <v>30</v>
      </c>
      <c r="M580" t="s">
        <v>105</v>
      </c>
      <c r="N580" t="s">
        <v>612</v>
      </c>
    </row>
    <row r="581" spans="1:14" x14ac:dyDescent="0.25">
      <c r="A581" t="s">
        <v>14</v>
      </c>
      <c r="B581" t="s">
        <v>15</v>
      </c>
      <c r="C581" t="s">
        <v>16</v>
      </c>
      <c r="D581" s="13">
        <v>45513</v>
      </c>
      <c r="E581" t="s">
        <v>306</v>
      </c>
      <c r="F581">
        <v>81978.13</v>
      </c>
      <c r="G581">
        <v>41549.589999999997</v>
      </c>
      <c r="H581">
        <v>324729.38</v>
      </c>
      <c r="I581">
        <v>92926.24</v>
      </c>
      <c r="J581">
        <v>4</v>
      </c>
      <c r="K581">
        <v>7</v>
      </c>
      <c r="L581" t="s">
        <v>112</v>
      </c>
      <c r="M581" t="s">
        <v>43</v>
      </c>
      <c r="N581" t="s">
        <v>612</v>
      </c>
    </row>
    <row r="582" spans="1:14" x14ac:dyDescent="0.25">
      <c r="A582" t="s">
        <v>21</v>
      </c>
      <c r="B582" t="s">
        <v>22</v>
      </c>
      <c r="C582" t="s">
        <v>16</v>
      </c>
      <c r="D582" s="13">
        <v>45513</v>
      </c>
      <c r="E582" t="s">
        <v>306</v>
      </c>
      <c r="F582">
        <v>124423.51</v>
      </c>
      <c r="G582">
        <v>98047.73</v>
      </c>
      <c r="H582">
        <v>611746.49</v>
      </c>
      <c r="I582">
        <v>174164.73</v>
      </c>
      <c r="J582">
        <v>4</v>
      </c>
      <c r="K582">
        <v>5</v>
      </c>
      <c r="L582" t="s">
        <v>30</v>
      </c>
      <c r="M582" t="s">
        <v>26</v>
      </c>
      <c r="N582" t="s">
        <v>612</v>
      </c>
    </row>
    <row r="583" spans="1:14" x14ac:dyDescent="0.25">
      <c r="A583" t="s">
        <v>27</v>
      </c>
      <c r="B583" t="s">
        <v>28</v>
      </c>
      <c r="C583" t="s">
        <v>16</v>
      </c>
      <c r="D583" s="13">
        <v>45513</v>
      </c>
      <c r="E583" t="s">
        <v>306</v>
      </c>
      <c r="F583">
        <v>87306.49</v>
      </c>
      <c r="G583">
        <v>46965.46</v>
      </c>
      <c r="H583">
        <v>289658.77</v>
      </c>
      <c r="I583">
        <v>57914.49</v>
      </c>
      <c r="J583">
        <v>5</v>
      </c>
      <c r="K583">
        <v>8</v>
      </c>
      <c r="L583" t="s">
        <v>30</v>
      </c>
      <c r="M583" t="s">
        <v>125</v>
      </c>
      <c r="N583" t="s">
        <v>612</v>
      </c>
    </row>
    <row r="584" spans="1:14" x14ac:dyDescent="0.25">
      <c r="A584" t="s">
        <v>32</v>
      </c>
      <c r="B584" t="s">
        <v>33</v>
      </c>
      <c r="C584" t="s">
        <v>16</v>
      </c>
      <c r="D584" s="13">
        <v>45513</v>
      </c>
      <c r="E584" t="s">
        <v>306</v>
      </c>
      <c r="F584">
        <v>196704.69</v>
      </c>
      <c r="G584">
        <v>121558.62</v>
      </c>
      <c r="H584">
        <v>732770.96</v>
      </c>
      <c r="I584">
        <v>217275.74</v>
      </c>
      <c r="J584">
        <v>5</v>
      </c>
      <c r="K584">
        <v>8</v>
      </c>
      <c r="L584" t="s">
        <v>112</v>
      </c>
      <c r="M584" t="s">
        <v>611</v>
      </c>
      <c r="N584" t="s">
        <v>612</v>
      </c>
    </row>
    <row r="585" spans="1:14" x14ac:dyDescent="0.25">
      <c r="A585" t="s">
        <v>39</v>
      </c>
      <c r="B585" t="s">
        <v>40</v>
      </c>
      <c r="C585" t="s">
        <v>16</v>
      </c>
      <c r="D585" s="13">
        <v>45513</v>
      </c>
      <c r="E585" t="s">
        <v>306</v>
      </c>
      <c r="F585">
        <v>219706.02</v>
      </c>
      <c r="G585">
        <v>115673.35</v>
      </c>
      <c r="H585">
        <v>10061835</v>
      </c>
      <c r="I585">
        <v>226481.06</v>
      </c>
      <c r="J585">
        <v>3</v>
      </c>
      <c r="K585">
        <v>3</v>
      </c>
      <c r="L585" t="s">
        <v>30</v>
      </c>
      <c r="M585" t="s">
        <v>31</v>
      </c>
      <c r="N585" t="s">
        <v>612</v>
      </c>
    </row>
    <row r="586" spans="1:14" x14ac:dyDescent="0.25">
      <c r="A586" t="s">
        <v>44</v>
      </c>
      <c r="B586" t="s">
        <v>45</v>
      </c>
      <c r="C586" t="s">
        <v>16</v>
      </c>
      <c r="D586" s="13">
        <v>45513</v>
      </c>
      <c r="E586" t="s">
        <v>306</v>
      </c>
      <c r="F586">
        <v>135761.16</v>
      </c>
      <c r="G586">
        <v>80214.87</v>
      </c>
      <c r="H586">
        <v>551621.49</v>
      </c>
      <c r="I586">
        <v>176499.78</v>
      </c>
      <c r="J586">
        <v>6</v>
      </c>
      <c r="K586">
        <v>5</v>
      </c>
      <c r="L586" t="s">
        <v>112</v>
      </c>
      <c r="M586" t="s">
        <v>611</v>
      </c>
      <c r="N586" t="s">
        <v>612</v>
      </c>
    </row>
    <row r="587" spans="1:14" x14ac:dyDescent="0.25">
      <c r="A587" t="s">
        <v>55</v>
      </c>
      <c r="B587" t="s">
        <v>56</v>
      </c>
      <c r="C587" t="s">
        <v>51</v>
      </c>
      <c r="D587" s="13">
        <v>45513</v>
      </c>
      <c r="E587" t="s">
        <v>306</v>
      </c>
      <c r="F587">
        <v>39191.51</v>
      </c>
      <c r="G587">
        <v>24462.66</v>
      </c>
      <c r="H587">
        <v>1060953</v>
      </c>
      <c r="I587">
        <v>21250.86</v>
      </c>
      <c r="J587">
        <v>4</v>
      </c>
      <c r="K587">
        <v>3</v>
      </c>
      <c r="L587" t="s">
        <v>30</v>
      </c>
      <c r="M587" t="s">
        <v>125</v>
      </c>
      <c r="N587" t="s">
        <v>612</v>
      </c>
    </row>
    <row r="588" spans="1:14" x14ac:dyDescent="0.25">
      <c r="A588" t="s">
        <v>59</v>
      </c>
      <c r="B588" t="s">
        <v>60</v>
      </c>
      <c r="C588" t="s">
        <v>51</v>
      </c>
      <c r="D588" s="13">
        <v>45513</v>
      </c>
      <c r="E588" t="s">
        <v>306</v>
      </c>
      <c r="F588">
        <v>88141.2</v>
      </c>
      <c r="G588">
        <v>41611.629999999997</v>
      </c>
      <c r="H588">
        <v>312103.32</v>
      </c>
      <c r="I588">
        <v>59440.76</v>
      </c>
      <c r="J588">
        <v>2</v>
      </c>
      <c r="K588">
        <v>7</v>
      </c>
      <c r="L588" t="s">
        <v>30</v>
      </c>
      <c r="M588" t="s">
        <v>113</v>
      </c>
      <c r="N588" t="s">
        <v>612</v>
      </c>
    </row>
    <row r="589" spans="1:14" x14ac:dyDescent="0.25">
      <c r="A589" t="s">
        <v>62</v>
      </c>
      <c r="B589" t="s">
        <v>63</v>
      </c>
      <c r="C589" t="s">
        <v>51</v>
      </c>
      <c r="D589" s="13">
        <v>45513</v>
      </c>
      <c r="E589" t="s">
        <v>306</v>
      </c>
      <c r="F589">
        <v>63633.56</v>
      </c>
      <c r="G589">
        <v>34568.959999999999</v>
      </c>
      <c r="H589">
        <v>249155.51</v>
      </c>
      <c r="I589">
        <v>49772.42</v>
      </c>
      <c r="J589">
        <v>1</v>
      </c>
      <c r="K589">
        <v>2</v>
      </c>
      <c r="L589" t="s">
        <v>30</v>
      </c>
      <c r="M589" t="s">
        <v>611</v>
      </c>
      <c r="N589" t="s">
        <v>612</v>
      </c>
    </row>
    <row r="590" spans="1:14" x14ac:dyDescent="0.25">
      <c r="A590" t="s">
        <v>68</v>
      </c>
      <c r="B590" t="s">
        <v>69</v>
      </c>
      <c r="C590" t="s">
        <v>51</v>
      </c>
      <c r="D590" s="13">
        <v>45513</v>
      </c>
      <c r="E590" t="s">
        <v>306</v>
      </c>
      <c r="F590">
        <v>44803.93</v>
      </c>
      <c r="G590">
        <v>25917.439999999999</v>
      </c>
      <c r="H590">
        <v>195726.9</v>
      </c>
      <c r="I590">
        <v>45561.86</v>
      </c>
      <c r="J590">
        <v>4</v>
      </c>
      <c r="K590">
        <v>4</v>
      </c>
      <c r="L590" t="s">
        <v>112</v>
      </c>
      <c r="M590" t="s">
        <v>31</v>
      </c>
      <c r="N590" t="s">
        <v>612</v>
      </c>
    </row>
    <row r="591" spans="1:14" x14ac:dyDescent="0.25">
      <c r="A591" t="s">
        <v>74</v>
      </c>
      <c r="B591" t="s">
        <v>75</v>
      </c>
      <c r="C591" t="s">
        <v>51</v>
      </c>
      <c r="D591" s="13">
        <v>45513</v>
      </c>
      <c r="E591" t="s">
        <v>306</v>
      </c>
      <c r="F591">
        <v>45872.71</v>
      </c>
      <c r="G591">
        <v>25951.99</v>
      </c>
      <c r="H591">
        <v>203258.59</v>
      </c>
      <c r="I591">
        <v>65249.06</v>
      </c>
      <c r="J591">
        <v>6</v>
      </c>
      <c r="K591">
        <v>6</v>
      </c>
      <c r="L591" t="s">
        <v>30</v>
      </c>
      <c r="M591" t="s">
        <v>73</v>
      </c>
      <c r="N591" t="s">
        <v>612</v>
      </c>
    </row>
    <row r="592" spans="1:14" x14ac:dyDescent="0.25">
      <c r="A592" t="s">
        <v>78</v>
      </c>
      <c r="B592" t="s">
        <v>79</v>
      </c>
      <c r="C592" t="s">
        <v>137</v>
      </c>
      <c r="D592" s="13">
        <v>45513</v>
      </c>
      <c r="E592" t="s">
        <v>306</v>
      </c>
      <c r="F592">
        <v>26890.65</v>
      </c>
      <c r="G592">
        <v>16563.88</v>
      </c>
      <c r="H592">
        <v>85307.24</v>
      </c>
      <c r="I592">
        <v>18411.240000000002</v>
      </c>
      <c r="J592">
        <v>5</v>
      </c>
      <c r="K592">
        <v>14</v>
      </c>
      <c r="L592" t="s">
        <v>30</v>
      </c>
      <c r="M592" t="s">
        <v>611</v>
      </c>
      <c r="N592" t="s">
        <v>612</v>
      </c>
    </row>
    <row r="593" spans="1:14" x14ac:dyDescent="0.25">
      <c r="A593" t="s">
        <v>82</v>
      </c>
      <c r="B593" t="s">
        <v>83</v>
      </c>
      <c r="C593" t="s">
        <v>137</v>
      </c>
      <c r="D593" s="13">
        <v>45513</v>
      </c>
      <c r="E593" t="s">
        <v>306</v>
      </c>
      <c r="F593">
        <v>32514.21</v>
      </c>
      <c r="G593">
        <v>13354.77</v>
      </c>
      <c r="H593">
        <v>108652.08</v>
      </c>
      <c r="I593">
        <v>23013.48</v>
      </c>
      <c r="J593">
        <v>7</v>
      </c>
      <c r="K593">
        <v>7</v>
      </c>
      <c r="L593" t="s">
        <v>30</v>
      </c>
      <c r="M593" t="s">
        <v>611</v>
      </c>
      <c r="N593" t="s">
        <v>612</v>
      </c>
    </row>
    <row r="594" spans="1:14" x14ac:dyDescent="0.25">
      <c r="A594" t="s">
        <v>84</v>
      </c>
      <c r="B594" t="s">
        <v>85</v>
      </c>
      <c r="C594" t="s">
        <v>137</v>
      </c>
      <c r="D594" s="13">
        <v>45513</v>
      </c>
      <c r="E594" t="s">
        <v>306</v>
      </c>
      <c r="F594">
        <v>14819.52</v>
      </c>
      <c r="G594">
        <v>7670.22</v>
      </c>
      <c r="H594">
        <v>3494.41</v>
      </c>
      <c r="I594">
        <v>768.18</v>
      </c>
      <c r="J594">
        <v>10</v>
      </c>
      <c r="K594">
        <v>12</v>
      </c>
      <c r="L594" t="s">
        <v>30</v>
      </c>
      <c r="M594" t="s">
        <v>611</v>
      </c>
      <c r="N594" t="s">
        <v>613</v>
      </c>
    </row>
    <row r="595" spans="1:14" x14ac:dyDescent="0.25">
      <c r="A595" t="s">
        <v>90</v>
      </c>
      <c r="B595" t="s">
        <v>91</v>
      </c>
      <c r="C595" t="s">
        <v>137</v>
      </c>
      <c r="D595" s="13">
        <v>45513</v>
      </c>
      <c r="E595" t="s">
        <v>306</v>
      </c>
      <c r="F595">
        <v>28299.95</v>
      </c>
      <c r="G595">
        <v>14620.59</v>
      </c>
      <c r="H595">
        <v>139400.26999999999</v>
      </c>
      <c r="I595">
        <v>43240.56</v>
      </c>
      <c r="J595">
        <v>7</v>
      </c>
      <c r="K595">
        <v>2</v>
      </c>
      <c r="L595" t="s">
        <v>30</v>
      </c>
      <c r="M595" t="s">
        <v>101</v>
      </c>
      <c r="N595" t="s">
        <v>612</v>
      </c>
    </row>
    <row r="596" spans="1:14" x14ac:dyDescent="0.25">
      <c r="A596" t="s">
        <v>93</v>
      </c>
      <c r="B596" t="s">
        <v>94</v>
      </c>
      <c r="C596" t="s">
        <v>137</v>
      </c>
      <c r="D596" s="13">
        <v>45513</v>
      </c>
      <c r="E596" t="s">
        <v>306</v>
      </c>
      <c r="F596">
        <v>37347.19</v>
      </c>
      <c r="G596">
        <v>16672.09</v>
      </c>
      <c r="H596">
        <v>137936.63</v>
      </c>
      <c r="I596">
        <v>35868.51</v>
      </c>
      <c r="J596">
        <v>12</v>
      </c>
      <c r="K596">
        <v>2</v>
      </c>
      <c r="L596" t="s">
        <v>30</v>
      </c>
      <c r="M596" t="s">
        <v>611</v>
      </c>
      <c r="N596" t="s">
        <v>612</v>
      </c>
    </row>
    <row r="597" spans="1:14" x14ac:dyDescent="0.25">
      <c r="A597" t="s">
        <v>96</v>
      </c>
      <c r="B597" t="s">
        <v>97</v>
      </c>
      <c r="C597" t="s">
        <v>137</v>
      </c>
      <c r="D597" s="13">
        <v>45513</v>
      </c>
      <c r="E597" t="s">
        <v>306</v>
      </c>
      <c r="F597">
        <v>32246.57</v>
      </c>
      <c r="G597">
        <v>19221.36</v>
      </c>
      <c r="H597">
        <v>128739.52</v>
      </c>
      <c r="I597">
        <v>30764.55</v>
      </c>
      <c r="J597">
        <v>12</v>
      </c>
      <c r="K597">
        <v>8</v>
      </c>
      <c r="L597" t="s">
        <v>30</v>
      </c>
      <c r="M597" t="s">
        <v>611</v>
      </c>
      <c r="N597" t="s">
        <v>612</v>
      </c>
    </row>
    <row r="598" spans="1:14" x14ac:dyDescent="0.25">
      <c r="A598" t="s">
        <v>14</v>
      </c>
      <c r="B598" t="s">
        <v>15</v>
      </c>
      <c r="C598" t="s">
        <v>16</v>
      </c>
      <c r="D598" s="13">
        <v>45520</v>
      </c>
      <c r="E598" t="s">
        <v>306</v>
      </c>
      <c r="F598">
        <v>208042.04</v>
      </c>
      <c r="G598">
        <v>99364.2</v>
      </c>
      <c r="H598">
        <v>543118.67000000004</v>
      </c>
      <c r="I598">
        <v>106334.25</v>
      </c>
      <c r="J598">
        <v>4</v>
      </c>
      <c r="K598">
        <v>4</v>
      </c>
      <c r="L598" t="s">
        <v>30</v>
      </c>
      <c r="M598" t="s">
        <v>125</v>
      </c>
      <c r="N598" t="s">
        <v>612</v>
      </c>
    </row>
    <row r="599" spans="1:14" x14ac:dyDescent="0.25">
      <c r="A599" t="s">
        <v>21</v>
      </c>
      <c r="B599" t="s">
        <v>22</v>
      </c>
      <c r="C599" t="s">
        <v>16</v>
      </c>
      <c r="D599" s="13">
        <v>45520</v>
      </c>
      <c r="E599" t="s">
        <v>306</v>
      </c>
      <c r="F599">
        <v>109653</v>
      </c>
      <c r="G599">
        <v>79149.78</v>
      </c>
      <c r="H599">
        <v>453930.67</v>
      </c>
      <c r="I599">
        <v>143975.76</v>
      </c>
      <c r="J599">
        <v>2</v>
      </c>
      <c r="K599">
        <v>2</v>
      </c>
      <c r="L599" t="s">
        <v>30</v>
      </c>
      <c r="M599" t="s">
        <v>31</v>
      </c>
      <c r="N599" t="s">
        <v>612</v>
      </c>
    </row>
    <row r="600" spans="1:14" x14ac:dyDescent="0.25">
      <c r="A600" t="s">
        <v>27</v>
      </c>
      <c r="B600" t="s">
        <v>28</v>
      </c>
      <c r="C600" t="s">
        <v>16</v>
      </c>
      <c r="D600" s="13">
        <v>45520</v>
      </c>
      <c r="E600" t="s">
        <v>306</v>
      </c>
      <c r="F600">
        <v>96234.18</v>
      </c>
      <c r="G600">
        <v>60785.57</v>
      </c>
      <c r="H600">
        <v>428483.53</v>
      </c>
      <c r="I600">
        <v>138618.12</v>
      </c>
      <c r="J600">
        <v>3</v>
      </c>
      <c r="K600">
        <v>6</v>
      </c>
      <c r="L600" t="s">
        <v>30</v>
      </c>
      <c r="M600" t="s">
        <v>611</v>
      </c>
      <c r="N600" t="s">
        <v>612</v>
      </c>
    </row>
    <row r="601" spans="1:14" x14ac:dyDescent="0.25">
      <c r="A601" t="s">
        <v>32</v>
      </c>
      <c r="B601" t="s">
        <v>33</v>
      </c>
      <c r="C601" t="s">
        <v>16</v>
      </c>
      <c r="D601" s="13">
        <v>45520</v>
      </c>
      <c r="E601" t="s">
        <v>306</v>
      </c>
      <c r="F601">
        <v>181868.03</v>
      </c>
      <c r="G601">
        <v>83606.320000000007</v>
      </c>
      <c r="H601">
        <v>472786</v>
      </c>
      <c r="I601">
        <v>122093.53</v>
      </c>
      <c r="J601">
        <v>1</v>
      </c>
      <c r="K601">
        <v>5</v>
      </c>
      <c r="L601" t="s">
        <v>112</v>
      </c>
      <c r="M601" t="s">
        <v>73</v>
      </c>
      <c r="N601" t="s">
        <v>612</v>
      </c>
    </row>
    <row r="602" spans="1:14" x14ac:dyDescent="0.25">
      <c r="A602" t="s">
        <v>39</v>
      </c>
      <c r="B602" t="s">
        <v>40</v>
      </c>
      <c r="C602" t="s">
        <v>16</v>
      </c>
      <c r="D602" s="13">
        <v>45520</v>
      </c>
      <c r="E602" t="s">
        <v>306</v>
      </c>
      <c r="F602">
        <v>82452.66</v>
      </c>
      <c r="G602">
        <v>47591.39</v>
      </c>
      <c r="H602">
        <v>16303.86</v>
      </c>
      <c r="I602">
        <v>3623.8</v>
      </c>
      <c r="J602">
        <v>1</v>
      </c>
      <c r="K602">
        <v>2</v>
      </c>
      <c r="L602" t="s">
        <v>30</v>
      </c>
      <c r="M602" t="s">
        <v>611</v>
      </c>
      <c r="N602" t="s">
        <v>613</v>
      </c>
    </row>
    <row r="603" spans="1:14" x14ac:dyDescent="0.25">
      <c r="A603" t="s">
        <v>44</v>
      </c>
      <c r="B603" t="s">
        <v>45</v>
      </c>
      <c r="C603" t="s">
        <v>16</v>
      </c>
      <c r="D603" s="13">
        <v>45520</v>
      </c>
      <c r="E603" t="s">
        <v>306</v>
      </c>
      <c r="F603">
        <v>85689.74</v>
      </c>
      <c r="G603">
        <v>39216.550000000003</v>
      </c>
      <c r="H603">
        <v>296039.40000000002</v>
      </c>
      <c r="I603">
        <v>57251.07</v>
      </c>
      <c r="J603">
        <v>6</v>
      </c>
      <c r="K603">
        <v>2</v>
      </c>
      <c r="L603" t="s">
        <v>30</v>
      </c>
      <c r="M603" t="s">
        <v>127</v>
      </c>
      <c r="N603" t="s">
        <v>612</v>
      </c>
    </row>
    <row r="604" spans="1:14" x14ac:dyDescent="0.25">
      <c r="A604" t="s">
        <v>49</v>
      </c>
      <c r="B604" t="s">
        <v>50</v>
      </c>
      <c r="C604" t="s">
        <v>51</v>
      </c>
      <c r="D604" s="13">
        <v>45520</v>
      </c>
      <c r="E604" t="s">
        <v>306</v>
      </c>
      <c r="F604">
        <v>47447.63</v>
      </c>
      <c r="G604">
        <v>35842.74</v>
      </c>
      <c r="H604">
        <v>7813.07</v>
      </c>
      <c r="I604">
        <v>1692.2</v>
      </c>
      <c r="J604">
        <v>4</v>
      </c>
      <c r="K604">
        <v>4</v>
      </c>
      <c r="L604" t="s">
        <v>30</v>
      </c>
      <c r="M604" t="s">
        <v>611</v>
      </c>
      <c r="N604" t="s">
        <v>613</v>
      </c>
    </row>
    <row r="605" spans="1:14" x14ac:dyDescent="0.25">
      <c r="A605" t="s">
        <v>55</v>
      </c>
      <c r="B605" t="s">
        <v>56</v>
      </c>
      <c r="C605" t="s">
        <v>51</v>
      </c>
      <c r="D605" s="13">
        <v>45520</v>
      </c>
      <c r="E605" t="s">
        <v>306</v>
      </c>
      <c r="F605">
        <v>46486.12</v>
      </c>
      <c r="G605">
        <v>28265.96</v>
      </c>
      <c r="H605">
        <v>127505.35</v>
      </c>
      <c r="I605">
        <v>38319.370000000003</v>
      </c>
      <c r="J605">
        <v>2</v>
      </c>
      <c r="K605">
        <v>6</v>
      </c>
      <c r="L605" t="s">
        <v>30</v>
      </c>
      <c r="M605" t="s">
        <v>611</v>
      </c>
      <c r="N605" t="s">
        <v>612</v>
      </c>
    </row>
    <row r="606" spans="1:14" x14ac:dyDescent="0.25">
      <c r="A606" t="s">
        <v>59</v>
      </c>
      <c r="B606" t="s">
        <v>60</v>
      </c>
      <c r="C606" t="s">
        <v>51</v>
      </c>
      <c r="D606" s="13">
        <v>45520</v>
      </c>
      <c r="E606" t="s">
        <v>306</v>
      </c>
      <c r="F606">
        <v>68362.429999999993</v>
      </c>
      <c r="G606">
        <v>30393.74</v>
      </c>
      <c r="H606">
        <v>261869.2</v>
      </c>
      <c r="I606">
        <v>64501.11</v>
      </c>
      <c r="J606">
        <v>4</v>
      </c>
      <c r="K606">
        <v>4</v>
      </c>
      <c r="L606" t="s">
        <v>30</v>
      </c>
      <c r="M606" t="s">
        <v>611</v>
      </c>
      <c r="N606" t="s">
        <v>612</v>
      </c>
    </row>
    <row r="607" spans="1:14" x14ac:dyDescent="0.25">
      <c r="A607" t="s">
        <v>62</v>
      </c>
      <c r="B607" t="s">
        <v>63</v>
      </c>
      <c r="C607" t="s">
        <v>51</v>
      </c>
      <c r="D607" s="13">
        <v>45520</v>
      </c>
      <c r="E607" t="s">
        <v>306</v>
      </c>
      <c r="F607">
        <v>58042.81</v>
      </c>
      <c r="G607">
        <v>32909.54</v>
      </c>
      <c r="H607">
        <v>227076.87</v>
      </c>
      <c r="I607">
        <v>70402.87</v>
      </c>
      <c r="J607">
        <v>3</v>
      </c>
      <c r="K607">
        <v>6</v>
      </c>
      <c r="L607" t="s">
        <v>30</v>
      </c>
      <c r="M607" t="s">
        <v>127</v>
      </c>
      <c r="N607" t="s">
        <v>612</v>
      </c>
    </row>
    <row r="608" spans="1:14" x14ac:dyDescent="0.25">
      <c r="A608" t="s">
        <v>66</v>
      </c>
      <c r="B608" t="s">
        <v>67</v>
      </c>
      <c r="C608" t="s">
        <v>51</v>
      </c>
      <c r="D608" s="13">
        <v>45520</v>
      </c>
      <c r="E608" t="s">
        <v>306</v>
      </c>
      <c r="F608">
        <v>40717.35</v>
      </c>
      <c r="G608">
        <v>24654.55</v>
      </c>
      <c r="H608">
        <v>157786.88</v>
      </c>
      <c r="I608">
        <v>34242.58</v>
      </c>
      <c r="J608">
        <v>5</v>
      </c>
      <c r="K608">
        <v>7</v>
      </c>
      <c r="L608" t="s">
        <v>30</v>
      </c>
      <c r="M608" t="s">
        <v>611</v>
      </c>
      <c r="N608" t="s">
        <v>612</v>
      </c>
    </row>
    <row r="609" spans="1:14" x14ac:dyDescent="0.25">
      <c r="A609" t="s">
        <v>68</v>
      </c>
      <c r="B609" t="s">
        <v>69</v>
      </c>
      <c r="C609" t="s">
        <v>51</v>
      </c>
      <c r="D609" s="13">
        <v>45520</v>
      </c>
      <c r="E609" t="s">
        <v>306</v>
      </c>
      <c r="F609">
        <v>54237.96</v>
      </c>
      <c r="G609">
        <v>27512.57</v>
      </c>
      <c r="H609">
        <v>156878.93</v>
      </c>
      <c r="I609">
        <v>38907.42</v>
      </c>
      <c r="J609">
        <v>1</v>
      </c>
      <c r="K609">
        <v>8</v>
      </c>
      <c r="L609" t="s">
        <v>30</v>
      </c>
      <c r="M609" t="s">
        <v>113</v>
      </c>
      <c r="N609" t="s">
        <v>612</v>
      </c>
    </row>
    <row r="610" spans="1:14" x14ac:dyDescent="0.25">
      <c r="A610" t="s">
        <v>74</v>
      </c>
      <c r="B610" t="s">
        <v>75</v>
      </c>
      <c r="C610" t="s">
        <v>51</v>
      </c>
      <c r="D610" s="13">
        <v>45520</v>
      </c>
      <c r="E610" t="s">
        <v>306</v>
      </c>
      <c r="F610">
        <v>38314.32</v>
      </c>
      <c r="G610">
        <v>24895.96</v>
      </c>
      <c r="H610">
        <v>186350.23</v>
      </c>
      <c r="I610">
        <v>41461.050000000003</v>
      </c>
      <c r="J610">
        <v>5</v>
      </c>
      <c r="K610">
        <v>7</v>
      </c>
      <c r="L610" t="s">
        <v>30</v>
      </c>
      <c r="M610" t="s">
        <v>105</v>
      </c>
      <c r="N610" t="s">
        <v>612</v>
      </c>
    </row>
    <row r="611" spans="1:14" x14ac:dyDescent="0.25">
      <c r="A611" t="s">
        <v>78</v>
      </c>
      <c r="B611" t="s">
        <v>79</v>
      </c>
      <c r="C611" t="s">
        <v>137</v>
      </c>
      <c r="D611" s="13">
        <v>45520</v>
      </c>
      <c r="E611" t="s">
        <v>306</v>
      </c>
      <c r="F611">
        <v>33302.800000000003</v>
      </c>
      <c r="G611">
        <v>17135.79</v>
      </c>
      <c r="H611">
        <v>5512.3</v>
      </c>
      <c r="I611">
        <v>1422.52</v>
      </c>
      <c r="J611">
        <v>12</v>
      </c>
      <c r="K611">
        <v>6</v>
      </c>
      <c r="L611" t="s">
        <v>30</v>
      </c>
      <c r="M611" t="s">
        <v>105</v>
      </c>
      <c r="N611" t="s">
        <v>613</v>
      </c>
    </row>
    <row r="612" spans="1:14" x14ac:dyDescent="0.25">
      <c r="A612" t="s">
        <v>82</v>
      </c>
      <c r="B612" t="s">
        <v>83</v>
      </c>
      <c r="C612" t="s">
        <v>137</v>
      </c>
      <c r="D612" s="13">
        <v>45520</v>
      </c>
      <c r="E612" t="s">
        <v>306</v>
      </c>
      <c r="F612">
        <v>44292.69</v>
      </c>
      <c r="G612">
        <v>19895</v>
      </c>
      <c r="H612">
        <v>168286</v>
      </c>
      <c r="I612">
        <v>41314.949999999997</v>
      </c>
      <c r="J612">
        <v>8</v>
      </c>
      <c r="K612">
        <v>15</v>
      </c>
      <c r="L612" t="s">
        <v>112</v>
      </c>
      <c r="M612" t="s">
        <v>115</v>
      </c>
      <c r="N612" t="s">
        <v>612</v>
      </c>
    </row>
    <row r="613" spans="1:14" x14ac:dyDescent="0.25">
      <c r="A613" t="s">
        <v>84</v>
      </c>
      <c r="B613" t="s">
        <v>85</v>
      </c>
      <c r="C613" t="s">
        <v>137</v>
      </c>
      <c r="D613" s="13">
        <v>45520</v>
      </c>
      <c r="E613" t="s">
        <v>306</v>
      </c>
      <c r="F613">
        <v>18756.71</v>
      </c>
      <c r="G613">
        <v>11324.41</v>
      </c>
      <c r="H613">
        <v>65621.740000000005</v>
      </c>
      <c r="I613">
        <v>18831.84</v>
      </c>
      <c r="J613">
        <v>9</v>
      </c>
      <c r="K613">
        <v>7</v>
      </c>
      <c r="L613" t="s">
        <v>30</v>
      </c>
      <c r="M613" t="s">
        <v>43</v>
      </c>
      <c r="N613" t="s">
        <v>612</v>
      </c>
    </row>
    <row r="614" spans="1:14" x14ac:dyDescent="0.25">
      <c r="A614" t="s">
        <v>87</v>
      </c>
      <c r="B614" t="s">
        <v>88</v>
      </c>
      <c r="C614" t="s">
        <v>137</v>
      </c>
      <c r="D614" s="13">
        <v>45520</v>
      </c>
      <c r="E614" t="s">
        <v>306</v>
      </c>
      <c r="F614">
        <v>29479.93</v>
      </c>
      <c r="G614">
        <v>13838.62</v>
      </c>
      <c r="H614">
        <v>124826.59</v>
      </c>
      <c r="I614">
        <v>37515.89</v>
      </c>
      <c r="J614">
        <v>5</v>
      </c>
      <c r="K614">
        <v>12</v>
      </c>
      <c r="L614" t="s">
        <v>30</v>
      </c>
      <c r="M614" t="s">
        <v>43</v>
      </c>
      <c r="N614" t="s">
        <v>612</v>
      </c>
    </row>
    <row r="615" spans="1:14" x14ac:dyDescent="0.25">
      <c r="A615" t="s">
        <v>90</v>
      </c>
      <c r="B615" t="s">
        <v>91</v>
      </c>
      <c r="C615" t="s">
        <v>137</v>
      </c>
      <c r="D615" s="13">
        <v>45520</v>
      </c>
      <c r="E615" t="s">
        <v>306</v>
      </c>
      <c r="F615">
        <v>8700.39</v>
      </c>
      <c r="G615">
        <v>4895.78</v>
      </c>
      <c r="H615">
        <v>28085.27</v>
      </c>
      <c r="I615">
        <v>5811.16</v>
      </c>
      <c r="J615">
        <v>12</v>
      </c>
      <c r="K615">
        <v>13</v>
      </c>
      <c r="L615" t="s">
        <v>30</v>
      </c>
      <c r="M615" t="s">
        <v>105</v>
      </c>
      <c r="N615" t="s">
        <v>612</v>
      </c>
    </row>
    <row r="616" spans="1:14" x14ac:dyDescent="0.25">
      <c r="A616" t="s">
        <v>96</v>
      </c>
      <c r="B616" t="s">
        <v>97</v>
      </c>
      <c r="C616" t="s">
        <v>137</v>
      </c>
      <c r="D616" s="13">
        <v>45520</v>
      </c>
      <c r="E616" t="s">
        <v>306</v>
      </c>
      <c r="F616">
        <v>16179.83</v>
      </c>
      <c r="G616">
        <v>8120.4</v>
      </c>
      <c r="H616">
        <v>61021.88</v>
      </c>
      <c r="I616">
        <v>16345.26</v>
      </c>
      <c r="J616">
        <v>9</v>
      </c>
      <c r="K616">
        <v>13</v>
      </c>
      <c r="L616" t="s">
        <v>30</v>
      </c>
      <c r="M616" t="s">
        <v>125</v>
      </c>
      <c r="N616" t="s">
        <v>612</v>
      </c>
    </row>
    <row r="617" spans="1:14" x14ac:dyDescent="0.25">
      <c r="A617" t="s">
        <v>14</v>
      </c>
      <c r="B617" t="s">
        <v>15</v>
      </c>
      <c r="C617" t="s">
        <v>16</v>
      </c>
      <c r="D617" s="13">
        <v>45527</v>
      </c>
      <c r="E617" t="s">
        <v>306</v>
      </c>
      <c r="F617">
        <v>147487.35</v>
      </c>
      <c r="G617">
        <v>77574.58</v>
      </c>
      <c r="H617">
        <v>494955.37</v>
      </c>
      <c r="I617">
        <v>107965.95</v>
      </c>
      <c r="J617">
        <v>3</v>
      </c>
      <c r="K617">
        <v>2</v>
      </c>
      <c r="L617" t="s">
        <v>30</v>
      </c>
      <c r="M617" t="s">
        <v>611</v>
      </c>
      <c r="N617" t="s">
        <v>612</v>
      </c>
    </row>
    <row r="618" spans="1:14" x14ac:dyDescent="0.25">
      <c r="A618" t="s">
        <v>21</v>
      </c>
      <c r="B618" t="s">
        <v>22</v>
      </c>
      <c r="C618" t="s">
        <v>16</v>
      </c>
      <c r="D618" s="13">
        <v>45527</v>
      </c>
      <c r="E618" t="s">
        <v>306</v>
      </c>
      <c r="F618">
        <v>146430.73000000001</v>
      </c>
      <c r="G618">
        <v>105732.45</v>
      </c>
      <c r="H618">
        <v>551830.27</v>
      </c>
      <c r="I618">
        <v>189543.52</v>
      </c>
      <c r="J618">
        <v>6</v>
      </c>
      <c r="K618">
        <v>6</v>
      </c>
      <c r="L618" t="s">
        <v>30</v>
      </c>
      <c r="M618" t="s">
        <v>105</v>
      </c>
      <c r="N618" t="s">
        <v>612</v>
      </c>
    </row>
    <row r="619" spans="1:14" x14ac:dyDescent="0.25">
      <c r="A619" t="s">
        <v>27</v>
      </c>
      <c r="B619" t="s">
        <v>28</v>
      </c>
      <c r="C619" t="s">
        <v>16</v>
      </c>
      <c r="D619" s="13">
        <v>45527</v>
      </c>
      <c r="E619" t="s">
        <v>306</v>
      </c>
      <c r="F619">
        <v>180433.25</v>
      </c>
      <c r="G619">
        <v>116537.41</v>
      </c>
      <c r="H619">
        <v>700070.01</v>
      </c>
      <c r="I619">
        <v>148626.54999999999</v>
      </c>
      <c r="J619">
        <v>1</v>
      </c>
      <c r="K619">
        <v>5</v>
      </c>
      <c r="L619" t="s">
        <v>112</v>
      </c>
      <c r="M619" t="s">
        <v>115</v>
      </c>
      <c r="N619" t="s">
        <v>612</v>
      </c>
    </row>
    <row r="620" spans="1:14" x14ac:dyDescent="0.25">
      <c r="A620" t="s">
        <v>32</v>
      </c>
      <c r="B620" t="s">
        <v>33</v>
      </c>
      <c r="C620" t="s">
        <v>16</v>
      </c>
      <c r="D620" s="13">
        <v>45527</v>
      </c>
      <c r="E620" t="s">
        <v>306</v>
      </c>
      <c r="F620">
        <v>168746.8</v>
      </c>
      <c r="G620">
        <v>79864.7</v>
      </c>
      <c r="H620">
        <v>622690.79</v>
      </c>
      <c r="I620">
        <v>174474.16</v>
      </c>
      <c r="J620">
        <v>5</v>
      </c>
      <c r="K620">
        <v>2</v>
      </c>
      <c r="L620" t="s">
        <v>30</v>
      </c>
      <c r="M620" t="s">
        <v>611</v>
      </c>
      <c r="N620" t="s">
        <v>612</v>
      </c>
    </row>
    <row r="621" spans="1:14" x14ac:dyDescent="0.25">
      <c r="A621" t="s">
        <v>39</v>
      </c>
      <c r="B621" t="s">
        <v>40</v>
      </c>
      <c r="C621" t="s">
        <v>16</v>
      </c>
      <c r="D621" s="13">
        <v>45527</v>
      </c>
      <c r="E621" t="s">
        <v>306</v>
      </c>
      <c r="F621">
        <v>218913.28</v>
      </c>
      <c r="G621">
        <v>116337.91</v>
      </c>
      <c r="H621">
        <v>816877.7</v>
      </c>
      <c r="I621">
        <v>217485.36</v>
      </c>
      <c r="J621">
        <v>5</v>
      </c>
      <c r="K621">
        <v>5</v>
      </c>
      <c r="L621" t="s">
        <v>30</v>
      </c>
      <c r="M621" t="s">
        <v>125</v>
      </c>
      <c r="N621" t="s">
        <v>612</v>
      </c>
    </row>
    <row r="622" spans="1:14" x14ac:dyDescent="0.25">
      <c r="A622" t="s">
        <v>44</v>
      </c>
      <c r="B622" t="s">
        <v>45</v>
      </c>
      <c r="C622" t="s">
        <v>16</v>
      </c>
      <c r="D622" s="13">
        <v>45527</v>
      </c>
      <c r="E622" t="s">
        <v>306</v>
      </c>
      <c r="F622">
        <v>124689.06</v>
      </c>
      <c r="G622">
        <v>67843.47</v>
      </c>
      <c r="H622">
        <v>367457.14</v>
      </c>
      <c r="I622">
        <v>108181.57</v>
      </c>
      <c r="J622">
        <v>1</v>
      </c>
      <c r="K622">
        <v>3</v>
      </c>
      <c r="L622" t="s">
        <v>112</v>
      </c>
      <c r="M622" t="s">
        <v>611</v>
      </c>
      <c r="N622" t="s">
        <v>612</v>
      </c>
    </row>
    <row r="623" spans="1:14" x14ac:dyDescent="0.25">
      <c r="A623" t="s">
        <v>49</v>
      </c>
      <c r="B623" t="s">
        <v>50</v>
      </c>
      <c r="C623" t="s">
        <v>51</v>
      </c>
      <c r="D623" s="13">
        <v>45527</v>
      </c>
      <c r="E623" t="s">
        <v>306</v>
      </c>
      <c r="F623">
        <v>55372.97</v>
      </c>
      <c r="G623">
        <v>41540.339999999997</v>
      </c>
      <c r="H623">
        <v>160081.54999999999</v>
      </c>
      <c r="I623">
        <v>50199.64</v>
      </c>
      <c r="J623">
        <v>2</v>
      </c>
      <c r="K623">
        <v>6</v>
      </c>
      <c r="L623" t="s">
        <v>30</v>
      </c>
      <c r="M623" t="s">
        <v>73</v>
      </c>
      <c r="N623" t="s">
        <v>612</v>
      </c>
    </row>
    <row r="624" spans="1:14" x14ac:dyDescent="0.25">
      <c r="A624" t="s">
        <v>55</v>
      </c>
      <c r="B624" t="s">
        <v>56</v>
      </c>
      <c r="C624" t="s">
        <v>51</v>
      </c>
      <c r="D624" s="13">
        <v>45527</v>
      </c>
      <c r="E624" t="s">
        <v>306</v>
      </c>
      <c r="F624">
        <v>48373.94</v>
      </c>
      <c r="G624">
        <v>29790.91</v>
      </c>
      <c r="H624">
        <v>1753230</v>
      </c>
      <c r="I624">
        <v>43286.94</v>
      </c>
      <c r="J624">
        <v>4</v>
      </c>
      <c r="K624">
        <v>6</v>
      </c>
      <c r="L624" t="s">
        <v>30</v>
      </c>
      <c r="M624" t="s">
        <v>31</v>
      </c>
      <c r="N624" t="s">
        <v>612</v>
      </c>
    </row>
    <row r="625" spans="1:14" x14ac:dyDescent="0.25">
      <c r="A625" t="s">
        <v>59</v>
      </c>
      <c r="B625" t="s">
        <v>60</v>
      </c>
      <c r="C625" t="s">
        <v>51</v>
      </c>
      <c r="D625" s="13">
        <v>45527</v>
      </c>
      <c r="E625" t="s">
        <v>306</v>
      </c>
      <c r="F625">
        <v>72276.160000000003</v>
      </c>
      <c r="G625">
        <v>26997.56</v>
      </c>
      <c r="H625">
        <v>324786</v>
      </c>
      <c r="I625">
        <v>82761.27</v>
      </c>
      <c r="J625">
        <v>3</v>
      </c>
      <c r="K625">
        <v>4</v>
      </c>
      <c r="L625" t="s">
        <v>30</v>
      </c>
      <c r="M625" t="s">
        <v>611</v>
      </c>
      <c r="N625" t="s">
        <v>612</v>
      </c>
    </row>
    <row r="626" spans="1:14" x14ac:dyDescent="0.25">
      <c r="A626" t="s">
        <v>62</v>
      </c>
      <c r="B626" t="s">
        <v>63</v>
      </c>
      <c r="C626" t="s">
        <v>51</v>
      </c>
      <c r="D626" s="13">
        <v>45527</v>
      </c>
      <c r="E626" t="s">
        <v>306</v>
      </c>
      <c r="F626">
        <v>89215.75</v>
      </c>
      <c r="G626">
        <v>41205.49</v>
      </c>
      <c r="H626">
        <v>365701.76</v>
      </c>
      <c r="I626">
        <v>88794.69</v>
      </c>
      <c r="J626">
        <v>3</v>
      </c>
      <c r="K626">
        <v>1</v>
      </c>
      <c r="L626" t="s">
        <v>30</v>
      </c>
      <c r="M626" t="s">
        <v>611</v>
      </c>
      <c r="N626" t="s">
        <v>612</v>
      </c>
    </row>
    <row r="627" spans="1:14" x14ac:dyDescent="0.25">
      <c r="A627" t="s">
        <v>68</v>
      </c>
      <c r="B627" t="s">
        <v>69</v>
      </c>
      <c r="C627" t="s">
        <v>51</v>
      </c>
      <c r="D627" s="13">
        <v>45527</v>
      </c>
      <c r="E627" t="s">
        <v>306</v>
      </c>
      <c r="F627">
        <v>44713.599999999999</v>
      </c>
      <c r="G627">
        <v>26942.51</v>
      </c>
      <c r="H627">
        <v>174011.3</v>
      </c>
      <c r="I627">
        <v>51720.84</v>
      </c>
      <c r="J627">
        <v>2</v>
      </c>
      <c r="K627">
        <v>5</v>
      </c>
      <c r="L627" t="s">
        <v>112</v>
      </c>
      <c r="M627" t="s">
        <v>105</v>
      </c>
      <c r="N627" t="s">
        <v>612</v>
      </c>
    </row>
    <row r="628" spans="1:14" x14ac:dyDescent="0.25">
      <c r="A628" t="s">
        <v>74</v>
      </c>
      <c r="B628" t="s">
        <v>75</v>
      </c>
      <c r="C628" t="s">
        <v>51</v>
      </c>
      <c r="D628" s="13">
        <v>45527</v>
      </c>
      <c r="E628" t="s">
        <v>306</v>
      </c>
      <c r="F628">
        <v>49980.73</v>
      </c>
      <c r="G628">
        <v>29529.22</v>
      </c>
      <c r="H628">
        <v>200374</v>
      </c>
      <c r="I628">
        <v>40845.589999999997</v>
      </c>
      <c r="J628">
        <v>6</v>
      </c>
      <c r="K628">
        <v>5</v>
      </c>
      <c r="L628" t="s">
        <v>30</v>
      </c>
      <c r="M628" t="s">
        <v>611</v>
      </c>
      <c r="N628" t="s">
        <v>612</v>
      </c>
    </row>
    <row r="629" spans="1:14" x14ac:dyDescent="0.25">
      <c r="A629" t="s">
        <v>78</v>
      </c>
      <c r="B629" t="s">
        <v>79</v>
      </c>
      <c r="C629" t="s">
        <v>137</v>
      </c>
      <c r="D629" s="13">
        <v>45527</v>
      </c>
      <c r="E629" t="s">
        <v>306</v>
      </c>
      <c r="F629">
        <v>16830.89</v>
      </c>
      <c r="G629">
        <v>8525.34</v>
      </c>
      <c r="H629">
        <v>68769.919999999998</v>
      </c>
      <c r="I629">
        <v>18987.52</v>
      </c>
      <c r="J629">
        <v>10</v>
      </c>
      <c r="K629">
        <v>7</v>
      </c>
      <c r="L629" t="s">
        <v>30</v>
      </c>
      <c r="M629" t="s">
        <v>611</v>
      </c>
      <c r="N629" t="s">
        <v>612</v>
      </c>
    </row>
    <row r="630" spans="1:14" x14ac:dyDescent="0.25">
      <c r="A630" t="s">
        <v>82</v>
      </c>
      <c r="B630" t="s">
        <v>83</v>
      </c>
      <c r="C630" t="s">
        <v>137</v>
      </c>
      <c r="D630" s="13">
        <v>45527</v>
      </c>
      <c r="E630" t="s">
        <v>306</v>
      </c>
      <c r="F630">
        <v>28792</v>
      </c>
      <c r="G630">
        <v>9884.74</v>
      </c>
      <c r="H630">
        <v>77237</v>
      </c>
      <c r="I630">
        <v>18364.580000000002</v>
      </c>
      <c r="J630">
        <v>10</v>
      </c>
      <c r="K630">
        <v>7</v>
      </c>
      <c r="L630" t="s">
        <v>30</v>
      </c>
      <c r="M630" t="s">
        <v>611</v>
      </c>
      <c r="N630" t="s">
        <v>612</v>
      </c>
    </row>
    <row r="631" spans="1:14" x14ac:dyDescent="0.25">
      <c r="A631" t="s">
        <v>84</v>
      </c>
      <c r="B631" t="s">
        <v>85</v>
      </c>
      <c r="C631" t="s">
        <v>137</v>
      </c>
      <c r="D631" s="13">
        <v>45527</v>
      </c>
      <c r="E631" t="s">
        <v>306</v>
      </c>
      <c r="F631">
        <v>31100.52</v>
      </c>
      <c r="G631">
        <v>18770.900000000001</v>
      </c>
      <c r="H631">
        <v>113342.2</v>
      </c>
      <c r="I631">
        <v>35236.699999999997</v>
      </c>
      <c r="J631">
        <v>11</v>
      </c>
      <c r="K631">
        <v>10</v>
      </c>
      <c r="L631" t="s">
        <v>112</v>
      </c>
      <c r="M631" t="s">
        <v>115</v>
      </c>
      <c r="N631" t="s">
        <v>612</v>
      </c>
    </row>
    <row r="632" spans="1:14" x14ac:dyDescent="0.25">
      <c r="A632" t="s">
        <v>87</v>
      </c>
      <c r="B632" t="s">
        <v>88</v>
      </c>
      <c r="C632" t="s">
        <v>137</v>
      </c>
      <c r="D632" s="13">
        <v>45527</v>
      </c>
      <c r="E632" t="s">
        <v>306</v>
      </c>
      <c r="F632">
        <v>22582.06</v>
      </c>
      <c r="G632">
        <v>11640.88</v>
      </c>
      <c r="H632">
        <v>108871.8</v>
      </c>
      <c r="I632">
        <v>23330.06</v>
      </c>
      <c r="J632">
        <v>4</v>
      </c>
      <c r="K632">
        <v>7</v>
      </c>
      <c r="L632" t="s">
        <v>30</v>
      </c>
      <c r="M632" t="s">
        <v>113</v>
      </c>
      <c r="N632" t="s">
        <v>612</v>
      </c>
    </row>
    <row r="633" spans="1:14" x14ac:dyDescent="0.25">
      <c r="A633" t="s">
        <v>90</v>
      </c>
      <c r="B633" t="s">
        <v>91</v>
      </c>
      <c r="C633" t="s">
        <v>137</v>
      </c>
      <c r="D633" s="13">
        <v>45527</v>
      </c>
      <c r="E633" t="s">
        <v>306</v>
      </c>
      <c r="F633">
        <v>28086.44</v>
      </c>
      <c r="G633">
        <v>14775.81</v>
      </c>
      <c r="H633">
        <v>101009.16</v>
      </c>
      <c r="I633">
        <v>31420.639999999999</v>
      </c>
      <c r="J633">
        <v>11</v>
      </c>
      <c r="K633">
        <v>9</v>
      </c>
      <c r="L633" t="s">
        <v>30</v>
      </c>
      <c r="M633" t="s">
        <v>611</v>
      </c>
      <c r="N633" t="s">
        <v>612</v>
      </c>
    </row>
    <row r="634" spans="1:14" x14ac:dyDescent="0.25">
      <c r="A634" t="s">
        <v>93</v>
      </c>
      <c r="B634" t="s">
        <v>94</v>
      </c>
      <c r="C634" t="s">
        <v>137</v>
      </c>
      <c r="D634" s="13">
        <v>45527</v>
      </c>
      <c r="E634" t="s">
        <v>306</v>
      </c>
      <c r="F634">
        <v>46223.92</v>
      </c>
      <c r="G634">
        <v>17336.12</v>
      </c>
      <c r="H634">
        <v>5824.48</v>
      </c>
      <c r="I634">
        <v>1464.29</v>
      </c>
      <c r="J634">
        <v>3</v>
      </c>
      <c r="K634">
        <v>3</v>
      </c>
      <c r="L634" t="s">
        <v>30</v>
      </c>
      <c r="M634" t="s">
        <v>113</v>
      </c>
      <c r="N634" t="s">
        <v>613</v>
      </c>
    </row>
    <row r="635" spans="1:14" x14ac:dyDescent="0.25">
      <c r="A635" t="s">
        <v>96</v>
      </c>
      <c r="B635" t="s">
        <v>97</v>
      </c>
      <c r="C635" t="s">
        <v>137</v>
      </c>
      <c r="D635" s="13">
        <v>45527</v>
      </c>
      <c r="E635" t="s">
        <v>306</v>
      </c>
      <c r="F635">
        <v>15417.34</v>
      </c>
      <c r="G635">
        <v>7934.6</v>
      </c>
      <c r="H635">
        <v>71205.53</v>
      </c>
      <c r="I635">
        <v>12929.26</v>
      </c>
      <c r="J635">
        <v>10</v>
      </c>
      <c r="K635">
        <v>4</v>
      </c>
      <c r="L635" t="s">
        <v>30</v>
      </c>
      <c r="M635" t="s">
        <v>125</v>
      </c>
      <c r="N635" t="s">
        <v>612</v>
      </c>
    </row>
    <row r="636" spans="1:14" x14ac:dyDescent="0.25">
      <c r="A636" t="s">
        <v>14</v>
      </c>
      <c r="B636" t="s">
        <v>15</v>
      </c>
      <c r="C636" t="s">
        <v>16</v>
      </c>
      <c r="D636" s="13">
        <v>45534</v>
      </c>
      <c r="E636" t="s">
        <v>306</v>
      </c>
      <c r="F636">
        <v>5104449</v>
      </c>
      <c r="G636">
        <v>50164.480000000003</v>
      </c>
      <c r="H636">
        <v>356450</v>
      </c>
      <c r="I636">
        <v>111823.84</v>
      </c>
      <c r="J636">
        <v>1</v>
      </c>
      <c r="K636">
        <v>3</v>
      </c>
      <c r="L636" t="s">
        <v>30</v>
      </c>
      <c r="M636" t="s">
        <v>43</v>
      </c>
      <c r="N636" t="s">
        <v>613</v>
      </c>
    </row>
    <row r="637" spans="1:14" x14ac:dyDescent="0.25">
      <c r="A637" t="s">
        <v>21</v>
      </c>
      <c r="B637" t="s">
        <v>22</v>
      </c>
      <c r="C637" t="s">
        <v>16</v>
      </c>
      <c r="D637" s="13">
        <v>45534</v>
      </c>
      <c r="E637" t="s">
        <v>306</v>
      </c>
      <c r="F637">
        <v>64030.25</v>
      </c>
      <c r="G637">
        <v>48016.55</v>
      </c>
      <c r="H637">
        <v>1767101</v>
      </c>
      <c r="I637">
        <v>38365.32</v>
      </c>
      <c r="J637">
        <v>4</v>
      </c>
      <c r="K637">
        <v>3</v>
      </c>
      <c r="L637" t="s">
        <v>112</v>
      </c>
      <c r="M637" t="s">
        <v>43</v>
      </c>
      <c r="N637" t="s">
        <v>612</v>
      </c>
    </row>
    <row r="638" spans="1:14" x14ac:dyDescent="0.25">
      <c r="A638" t="s">
        <v>27</v>
      </c>
      <c r="B638" t="s">
        <v>28</v>
      </c>
      <c r="C638" t="s">
        <v>16</v>
      </c>
      <c r="D638" s="13">
        <v>45534</v>
      </c>
      <c r="E638" t="s">
        <v>306</v>
      </c>
      <c r="F638">
        <v>155598.04999999999</v>
      </c>
      <c r="G638">
        <v>90820.47</v>
      </c>
      <c r="H638">
        <v>574853.06000000006</v>
      </c>
      <c r="I638">
        <v>186732.19</v>
      </c>
      <c r="J638">
        <v>2</v>
      </c>
      <c r="K638">
        <v>2</v>
      </c>
      <c r="L638" t="s">
        <v>30</v>
      </c>
      <c r="M638" t="s">
        <v>105</v>
      </c>
      <c r="N638" t="s">
        <v>612</v>
      </c>
    </row>
    <row r="639" spans="1:14" x14ac:dyDescent="0.25">
      <c r="A639" t="s">
        <v>32</v>
      </c>
      <c r="B639" t="s">
        <v>33</v>
      </c>
      <c r="C639" t="s">
        <v>16</v>
      </c>
      <c r="D639" s="13">
        <v>45534</v>
      </c>
      <c r="E639" t="s">
        <v>306</v>
      </c>
      <c r="F639">
        <v>105847.75</v>
      </c>
      <c r="G639">
        <v>54588.34</v>
      </c>
      <c r="H639">
        <v>441479.4</v>
      </c>
      <c r="I639">
        <v>122783.55</v>
      </c>
      <c r="J639">
        <v>3</v>
      </c>
      <c r="K639">
        <v>8</v>
      </c>
      <c r="L639" t="s">
        <v>30</v>
      </c>
      <c r="M639" t="s">
        <v>611</v>
      </c>
      <c r="N639" t="s">
        <v>612</v>
      </c>
    </row>
    <row r="640" spans="1:14" x14ac:dyDescent="0.25">
      <c r="A640" t="s">
        <v>39</v>
      </c>
      <c r="B640" t="s">
        <v>40</v>
      </c>
      <c r="C640" t="s">
        <v>16</v>
      </c>
      <c r="D640" s="13">
        <v>45534</v>
      </c>
      <c r="E640" t="s">
        <v>306</v>
      </c>
      <c r="F640">
        <v>191187.28</v>
      </c>
      <c r="G640">
        <v>86581.9</v>
      </c>
      <c r="H640">
        <v>877252.84</v>
      </c>
      <c r="I640">
        <v>217076.05</v>
      </c>
      <c r="J640">
        <v>1</v>
      </c>
      <c r="K640">
        <v>1</v>
      </c>
      <c r="L640" t="s">
        <v>30</v>
      </c>
      <c r="M640" t="s">
        <v>31</v>
      </c>
      <c r="N640" t="s">
        <v>612</v>
      </c>
    </row>
    <row r="641" spans="1:14" x14ac:dyDescent="0.25">
      <c r="A641" t="s">
        <v>44</v>
      </c>
      <c r="B641" t="s">
        <v>45</v>
      </c>
      <c r="C641" t="s">
        <v>16</v>
      </c>
      <c r="D641" s="13">
        <v>45534</v>
      </c>
      <c r="E641" t="s">
        <v>306</v>
      </c>
      <c r="F641">
        <v>96494.68</v>
      </c>
      <c r="G641">
        <v>58254.05</v>
      </c>
      <c r="H641">
        <v>322594.88</v>
      </c>
      <c r="I641">
        <v>72067.16</v>
      </c>
      <c r="J641">
        <v>4</v>
      </c>
      <c r="K641">
        <v>6</v>
      </c>
      <c r="L641" t="s">
        <v>30</v>
      </c>
      <c r="M641" t="s">
        <v>113</v>
      </c>
      <c r="N641" t="s">
        <v>612</v>
      </c>
    </row>
    <row r="642" spans="1:14" x14ac:dyDescent="0.25">
      <c r="A642" t="s">
        <v>49</v>
      </c>
      <c r="B642" t="s">
        <v>50</v>
      </c>
      <c r="C642" t="s">
        <v>51</v>
      </c>
      <c r="D642" s="13">
        <v>45534</v>
      </c>
      <c r="E642" t="s">
        <v>306</v>
      </c>
      <c r="F642">
        <v>28340.21</v>
      </c>
      <c r="G642">
        <v>17743.330000000002</v>
      </c>
      <c r="H642">
        <v>79798.880000000005</v>
      </c>
      <c r="I642">
        <v>20503.21</v>
      </c>
      <c r="J642">
        <v>5</v>
      </c>
      <c r="K642">
        <v>5</v>
      </c>
      <c r="L642" t="s">
        <v>112</v>
      </c>
      <c r="M642" t="s">
        <v>113</v>
      </c>
      <c r="N642" t="s">
        <v>612</v>
      </c>
    </row>
    <row r="643" spans="1:14" x14ac:dyDescent="0.25">
      <c r="A643" t="s">
        <v>55</v>
      </c>
      <c r="B643" t="s">
        <v>56</v>
      </c>
      <c r="C643" t="s">
        <v>51</v>
      </c>
      <c r="D643" s="13">
        <v>45534</v>
      </c>
      <c r="E643" t="s">
        <v>306</v>
      </c>
      <c r="F643">
        <v>74675.75</v>
      </c>
      <c r="G643">
        <v>45252.57</v>
      </c>
      <c r="H643">
        <v>336089.4</v>
      </c>
      <c r="I643">
        <v>73661.39</v>
      </c>
      <c r="J643">
        <v>5</v>
      </c>
      <c r="K643">
        <v>1</v>
      </c>
      <c r="L643" t="s">
        <v>30</v>
      </c>
      <c r="M643" t="s">
        <v>611</v>
      </c>
      <c r="N643" t="s">
        <v>612</v>
      </c>
    </row>
    <row r="644" spans="1:14" x14ac:dyDescent="0.25">
      <c r="A644" t="s">
        <v>59</v>
      </c>
      <c r="B644" t="s">
        <v>60</v>
      </c>
      <c r="C644" t="s">
        <v>51</v>
      </c>
      <c r="D644" s="13">
        <v>45534</v>
      </c>
      <c r="E644" t="s">
        <v>306</v>
      </c>
      <c r="F644">
        <v>58854.48</v>
      </c>
      <c r="G644">
        <v>22337.19</v>
      </c>
      <c r="H644">
        <v>279699.55</v>
      </c>
      <c r="I644">
        <v>92842.51</v>
      </c>
      <c r="J644">
        <v>4</v>
      </c>
      <c r="K644">
        <v>7</v>
      </c>
      <c r="L644" t="s">
        <v>30</v>
      </c>
      <c r="M644" t="s">
        <v>115</v>
      </c>
      <c r="N644" t="s">
        <v>612</v>
      </c>
    </row>
    <row r="645" spans="1:14" x14ac:dyDescent="0.25">
      <c r="A645" t="s">
        <v>62</v>
      </c>
      <c r="B645" t="s">
        <v>63</v>
      </c>
      <c r="C645" t="s">
        <v>51</v>
      </c>
      <c r="D645" s="13">
        <v>45534</v>
      </c>
      <c r="E645" t="s">
        <v>306</v>
      </c>
      <c r="F645">
        <v>38418.199999999997</v>
      </c>
      <c r="G645">
        <v>18519.509999999998</v>
      </c>
      <c r="H645">
        <v>133622.16</v>
      </c>
      <c r="I645">
        <v>33570.11</v>
      </c>
      <c r="J645">
        <v>5</v>
      </c>
      <c r="K645">
        <v>4</v>
      </c>
      <c r="L645" t="s">
        <v>30</v>
      </c>
      <c r="M645" t="s">
        <v>43</v>
      </c>
      <c r="N645" t="s">
        <v>612</v>
      </c>
    </row>
    <row r="646" spans="1:14" x14ac:dyDescent="0.25">
      <c r="A646" t="s">
        <v>66</v>
      </c>
      <c r="B646" t="s">
        <v>67</v>
      </c>
      <c r="C646" t="s">
        <v>51</v>
      </c>
      <c r="D646" s="13">
        <v>45534</v>
      </c>
      <c r="E646" t="s">
        <v>306</v>
      </c>
      <c r="F646">
        <v>38544.51</v>
      </c>
      <c r="G646">
        <v>19869.46</v>
      </c>
      <c r="H646">
        <v>146528.89000000001</v>
      </c>
      <c r="I646">
        <v>45597.13</v>
      </c>
      <c r="J646">
        <v>5</v>
      </c>
      <c r="K646">
        <v>2</v>
      </c>
      <c r="L646" t="s">
        <v>30</v>
      </c>
      <c r="M646" t="s">
        <v>611</v>
      </c>
      <c r="N646" t="s">
        <v>612</v>
      </c>
    </row>
    <row r="647" spans="1:14" x14ac:dyDescent="0.25">
      <c r="A647" t="s">
        <v>68</v>
      </c>
      <c r="B647" t="s">
        <v>69</v>
      </c>
      <c r="C647" t="s">
        <v>51</v>
      </c>
      <c r="D647" s="13">
        <v>45534</v>
      </c>
      <c r="E647" t="s">
        <v>306</v>
      </c>
      <c r="F647">
        <v>86969.27</v>
      </c>
      <c r="G647">
        <v>53711.83</v>
      </c>
      <c r="H647">
        <v>241956.69</v>
      </c>
      <c r="I647">
        <v>67613.919999999998</v>
      </c>
      <c r="J647">
        <v>6</v>
      </c>
      <c r="K647">
        <v>5</v>
      </c>
      <c r="L647" t="s">
        <v>112</v>
      </c>
      <c r="M647" t="s">
        <v>105</v>
      </c>
      <c r="N647" t="s">
        <v>612</v>
      </c>
    </row>
    <row r="648" spans="1:14" x14ac:dyDescent="0.25">
      <c r="A648" t="s">
        <v>74</v>
      </c>
      <c r="B648" t="s">
        <v>75</v>
      </c>
      <c r="C648" t="s">
        <v>51</v>
      </c>
      <c r="D648" s="13">
        <v>45534</v>
      </c>
      <c r="E648" t="s">
        <v>306</v>
      </c>
      <c r="F648">
        <v>69894.64</v>
      </c>
      <c r="G648">
        <v>44917.71</v>
      </c>
      <c r="H648">
        <v>184635.86</v>
      </c>
      <c r="I648">
        <v>57401.58</v>
      </c>
      <c r="J648">
        <v>6</v>
      </c>
      <c r="K648">
        <v>7</v>
      </c>
      <c r="L648" t="s">
        <v>30</v>
      </c>
      <c r="M648" t="s">
        <v>611</v>
      </c>
      <c r="N648" t="s">
        <v>612</v>
      </c>
    </row>
    <row r="649" spans="1:14" x14ac:dyDescent="0.25">
      <c r="A649" t="s">
        <v>78</v>
      </c>
      <c r="B649" t="s">
        <v>79</v>
      </c>
      <c r="C649" t="s">
        <v>137</v>
      </c>
      <c r="D649" s="13">
        <v>45534</v>
      </c>
      <c r="E649" t="s">
        <v>306</v>
      </c>
      <c r="F649">
        <v>21364.35</v>
      </c>
      <c r="G649">
        <v>12458.1</v>
      </c>
      <c r="H649">
        <v>106677.7</v>
      </c>
      <c r="I649">
        <v>28049.46</v>
      </c>
      <c r="J649">
        <v>11</v>
      </c>
      <c r="K649">
        <v>3</v>
      </c>
      <c r="L649" t="s">
        <v>30</v>
      </c>
      <c r="M649" t="s">
        <v>127</v>
      </c>
      <c r="N649" t="s">
        <v>612</v>
      </c>
    </row>
    <row r="650" spans="1:14" x14ac:dyDescent="0.25">
      <c r="A650" t="s">
        <v>82</v>
      </c>
      <c r="B650" t="s">
        <v>83</v>
      </c>
      <c r="C650" t="s">
        <v>137</v>
      </c>
      <c r="D650" s="13">
        <v>45534</v>
      </c>
      <c r="E650" t="s">
        <v>306</v>
      </c>
      <c r="F650">
        <v>197929</v>
      </c>
      <c r="G650">
        <v>8243.27</v>
      </c>
      <c r="H650">
        <v>68989</v>
      </c>
      <c r="I650">
        <v>16491.400000000001</v>
      </c>
      <c r="J650">
        <v>9</v>
      </c>
      <c r="K650">
        <v>15</v>
      </c>
      <c r="L650" t="s">
        <v>30</v>
      </c>
      <c r="M650" t="s">
        <v>73</v>
      </c>
      <c r="N650" t="s">
        <v>612</v>
      </c>
    </row>
    <row r="651" spans="1:14" x14ac:dyDescent="0.25">
      <c r="A651" t="s">
        <v>84</v>
      </c>
      <c r="B651" t="s">
        <v>85</v>
      </c>
      <c r="C651" t="s">
        <v>137</v>
      </c>
      <c r="D651" s="13">
        <v>45534</v>
      </c>
      <c r="E651" t="s">
        <v>306</v>
      </c>
      <c r="F651">
        <v>29651.17</v>
      </c>
      <c r="G651">
        <v>18380.349999999999</v>
      </c>
      <c r="H651">
        <v>100709.38</v>
      </c>
      <c r="I651">
        <v>24160.62</v>
      </c>
      <c r="J651">
        <v>5</v>
      </c>
      <c r="K651">
        <v>6</v>
      </c>
      <c r="L651" t="s">
        <v>30</v>
      </c>
      <c r="M651" t="s">
        <v>611</v>
      </c>
      <c r="N651" t="s">
        <v>612</v>
      </c>
    </row>
    <row r="652" spans="1:14" x14ac:dyDescent="0.25">
      <c r="A652" t="s">
        <v>87</v>
      </c>
      <c r="B652" t="s">
        <v>88</v>
      </c>
      <c r="C652" t="s">
        <v>137</v>
      </c>
      <c r="D652" s="13">
        <v>45534</v>
      </c>
      <c r="E652" t="s">
        <v>306</v>
      </c>
      <c r="F652">
        <v>27999.03</v>
      </c>
      <c r="G652">
        <v>16972.830000000002</v>
      </c>
      <c r="H652">
        <v>129125.91</v>
      </c>
      <c r="I652">
        <v>30569.24</v>
      </c>
      <c r="J652">
        <v>11</v>
      </c>
      <c r="K652">
        <v>4</v>
      </c>
      <c r="L652" t="s">
        <v>30</v>
      </c>
      <c r="M652" t="s">
        <v>611</v>
      </c>
      <c r="N652" t="s">
        <v>612</v>
      </c>
    </row>
    <row r="653" spans="1:14" x14ac:dyDescent="0.25">
      <c r="A653" t="s">
        <v>90</v>
      </c>
      <c r="B653" t="s">
        <v>91</v>
      </c>
      <c r="C653" t="s">
        <v>137</v>
      </c>
      <c r="D653" s="13">
        <v>45534</v>
      </c>
      <c r="E653" t="s">
        <v>306</v>
      </c>
      <c r="F653">
        <v>31111.35</v>
      </c>
      <c r="G653">
        <v>16097.02</v>
      </c>
      <c r="H653">
        <v>147450.71</v>
      </c>
      <c r="I653">
        <v>50587.75</v>
      </c>
      <c r="J653">
        <v>7</v>
      </c>
      <c r="K653">
        <v>9</v>
      </c>
      <c r="L653" t="s">
        <v>30</v>
      </c>
      <c r="M653" t="s">
        <v>101</v>
      </c>
      <c r="N653" t="s">
        <v>612</v>
      </c>
    </row>
    <row r="654" spans="1:14" x14ac:dyDescent="0.25">
      <c r="A654" t="s">
        <v>93</v>
      </c>
      <c r="B654" t="s">
        <v>94</v>
      </c>
      <c r="C654" t="s">
        <v>137</v>
      </c>
      <c r="D654" s="13">
        <v>45534</v>
      </c>
      <c r="E654" t="s">
        <v>306</v>
      </c>
      <c r="F654">
        <v>37184.33</v>
      </c>
      <c r="G654">
        <v>16885.3</v>
      </c>
      <c r="H654">
        <v>159510.38</v>
      </c>
      <c r="I654">
        <v>39470.629999999997</v>
      </c>
      <c r="J654">
        <v>8</v>
      </c>
      <c r="K654">
        <v>4</v>
      </c>
      <c r="L654" t="s">
        <v>30</v>
      </c>
      <c r="M654" t="s">
        <v>113</v>
      </c>
      <c r="N654" t="s">
        <v>612</v>
      </c>
    </row>
    <row r="655" spans="1:14" x14ac:dyDescent="0.25">
      <c r="A655" t="s">
        <v>96</v>
      </c>
      <c r="B655" t="s">
        <v>97</v>
      </c>
      <c r="C655" t="s">
        <v>137</v>
      </c>
      <c r="D655" s="13">
        <v>45534</v>
      </c>
      <c r="E655" t="s">
        <v>306</v>
      </c>
      <c r="F655">
        <v>30497.7</v>
      </c>
      <c r="G655">
        <v>15220.5</v>
      </c>
      <c r="H655">
        <v>109818.84</v>
      </c>
      <c r="I655">
        <v>22481.46</v>
      </c>
      <c r="J655">
        <v>6</v>
      </c>
      <c r="K655">
        <v>5</v>
      </c>
      <c r="L655" t="s">
        <v>30</v>
      </c>
      <c r="M655" t="s">
        <v>611</v>
      </c>
      <c r="N655" t="s">
        <v>612</v>
      </c>
    </row>
    <row r="656" spans="1:14" x14ac:dyDescent="0.25">
      <c r="A656" t="s">
        <v>14</v>
      </c>
      <c r="B656" t="s">
        <v>15</v>
      </c>
      <c r="C656" t="s">
        <v>16</v>
      </c>
      <c r="D656" s="13">
        <v>45541</v>
      </c>
      <c r="E656" t="s">
        <v>306</v>
      </c>
      <c r="F656">
        <v>160563.96</v>
      </c>
      <c r="G656">
        <v>84684.77</v>
      </c>
      <c r="H656">
        <v>685104.72</v>
      </c>
      <c r="I656">
        <v>216892.12</v>
      </c>
      <c r="J656">
        <v>3</v>
      </c>
      <c r="K656">
        <v>5</v>
      </c>
      <c r="L656" t="s">
        <v>30</v>
      </c>
      <c r="M656" t="s">
        <v>105</v>
      </c>
      <c r="N656" t="s">
        <v>612</v>
      </c>
    </row>
    <row r="657" spans="1:14" x14ac:dyDescent="0.25">
      <c r="A657" t="s">
        <v>21</v>
      </c>
      <c r="B657" t="s">
        <v>22</v>
      </c>
      <c r="C657" t="s">
        <v>16</v>
      </c>
      <c r="D657" s="13">
        <v>45541</v>
      </c>
      <c r="E657" t="s">
        <v>306</v>
      </c>
      <c r="F657">
        <v>114066.96</v>
      </c>
      <c r="G657">
        <v>104218.3</v>
      </c>
      <c r="H657">
        <v>437834.59</v>
      </c>
      <c r="I657">
        <v>140312.82</v>
      </c>
      <c r="J657">
        <v>2</v>
      </c>
      <c r="K657">
        <v>8</v>
      </c>
      <c r="L657" t="s">
        <v>30</v>
      </c>
      <c r="M657" t="s">
        <v>125</v>
      </c>
      <c r="N657" t="s">
        <v>612</v>
      </c>
    </row>
    <row r="658" spans="1:14" x14ac:dyDescent="0.25">
      <c r="A658" t="s">
        <v>32</v>
      </c>
      <c r="B658" t="s">
        <v>33</v>
      </c>
      <c r="C658" t="s">
        <v>16</v>
      </c>
      <c r="D658" s="13">
        <v>45541</v>
      </c>
      <c r="E658" t="s">
        <v>306</v>
      </c>
      <c r="F658">
        <v>171038.86</v>
      </c>
      <c r="G658">
        <v>93271.82</v>
      </c>
      <c r="H658">
        <v>454867.94</v>
      </c>
      <c r="I658">
        <v>155703.49</v>
      </c>
      <c r="J658">
        <v>3</v>
      </c>
      <c r="K658">
        <v>3</v>
      </c>
      <c r="L658" t="s">
        <v>30</v>
      </c>
      <c r="M658" t="s">
        <v>611</v>
      </c>
      <c r="N658" t="s">
        <v>612</v>
      </c>
    </row>
    <row r="659" spans="1:14" x14ac:dyDescent="0.25">
      <c r="A659" t="s">
        <v>39</v>
      </c>
      <c r="B659" t="s">
        <v>40</v>
      </c>
      <c r="C659" t="s">
        <v>16</v>
      </c>
      <c r="D659" s="13">
        <v>45541</v>
      </c>
      <c r="E659" t="s">
        <v>306</v>
      </c>
      <c r="F659">
        <v>122652.55</v>
      </c>
      <c r="G659">
        <v>74779.210000000006</v>
      </c>
      <c r="H659">
        <v>350857.76</v>
      </c>
      <c r="I659">
        <v>103792.39</v>
      </c>
      <c r="J659">
        <v>3</v>
      </c>
      <c r="K659">
        <v>7</v>
      </c>
      <c r="L659" t="s">
        <v>30</v>
      </c>
      <c r="M659" t="s">
        <v>101</v>
      </c>
      <c r="N659" t="s">
        <v>612</v>
      </c>
    </row>
    <row r="660" spans="1:14" x14ac:dyDescent="0.25">
      <c r="A660" t="s">
        <v>44</v>
      </c>
      <c r="B660" t="s">
        <v>45</v>
      </c>
      <c r="C660" t="s">
        <v>16</v>
      </c>
      <c r="D660" s="13">
        <v>45541</v>
      </c>
      <c r="E660" t="s">
        <v>306</v>
      </c>
      <c r="F660">
        <v>164213.57</v>
      </c>
      <c r="G660">
        <v>79786.14</v>
      </c>
      <c r="H660">
        <v>422639.56</v>
      </c>
      <c r="I660">
        <v>128428.92</v>
      </c>
      <c r="J660">
        <v>3</v>
      </c>
      <c r="K660">
        <v>3</v>
      </c>
      <c r="L660" t="s">
        <v>30</v>
      </c>
      <c r="M660" t="s">
        <v>125</v>
      </c>
      <c r="N660" t="s">
        <v>612</v>
      </c>
    </row>
    <row r="661" spans="1:14" x14ac:dyDescent="0.25">
      <c r="A661" t="s">
        <v>49</v>
      </c>
      <c r="B661" t="s">
        <v>50</v>
      </c>
      <c r="C661" t="s">
        <v>51</v>
      </c>
      <c r="D661" s="13">
        <v>45541</v>
      </c>
      <c r="E661" t="s">
        <v>306</v>
      </c>
      <c r="F661">
        <v>64667.92</v>
      </c>
      <c r="G661">
        <v>43877.88</v>
      </c>
      <c r="H661">
        <v>218448.36</v>
      </c>
      <c r="I661">
        <v>42349.85</v>
      </c>
      <c r="J661">
        <v>4</v>
      </c>
      <c r="K661">
        <v>4</v>
      </c>
      <c r="L661" t="s">
        <v>30</v>
      </c>
      <c r="M661" t="s">
        <v>113</v>
      </c>
      <c r="N661" t="s">
        <v>612</v>
      </c>
    </row>
    <row r="662" spans="1:14" x14ac:dyDescent="0.25">
      <c r="A662" t="s">
        <v>59</v>
      </c>
      <c r="B662" t="s">
        <v>60</v>
      </c>
      <c r="C662" t="s">
        <v>51</v>
      </c>
      <c r="D662" s="13">
        <v>45541</v>
      </c>
      <c r="E662" t="s">
        <v>306</v>
      </c>
      <c r="F662">
        <v>42940.55</v>
      </c>
      <c r="G662">
        <v>19687.97</v>
      </c>
      <c r="H662">
        <v>127585.17</v>
      </c>
      <c r="I662">
        <v>26908.19</v>
      </c>
      <c r="J662">
        <v>2</v>
      </c>
      <c r="K662">
        <v>3</v>
      </c>
      <c r="L662" t="s">
        <v>112</v>
      </c>
      <c r="M662" t="s">
        <v>611</v>
      </c>
      <c r="N662" t="s">
        <v>612</v>
      </c>
    </row>
    <row r="663" spans="1:14" x14ac:dyDescent="0.25">
      <c r="A663" t="s">
        <v>62</v>
      </c>
      <c r="B663" t="s">
        <v>63</v>
      </c>
      <c r="C663" t="s">
        <v>51</v>
      </c>
      <c r="D663" s="13">
        <v>45541</v>
      </c>
      <c r="E663" t="s">
        <v>306</v>
      </c>
      <c r="F663">
        <v>79139.73</v>
      </c>
      <c r="G663">
        <v>36226.589999999997</v>
      </c>
      <c r="H663">
        <v>357554.24</v>
      </c>
      <c r="I663">
        <v>82074.17</v>
      </c>
      <c r="J663">
        <v>3</v>
      </c>
      <c r="K663">
        <v>2</v>
      </c>
      <c r="L663" t="s">
        <v>30</v>
      </c>
      <c r="M663" t="s">
        <v>611</v>
      </c>
      <c r="N663" t="s">
        <v>612</v>
      </c>
    </row>
    <row r="664" spans="1:14" x14ac:dyDescent="0.25">
      <c r="A664" t="s">
        <v>66</v>
      </c>
      <c r="B664" t="s">
        <v>67</v>
      </c>
      <c r="C664" t="s">
        <v>51</v>
      </c>
      <c r="D664" s="13">
        <v>45541</v>
      </c>
      <c r="E664" t="s">
        <v>306</v>
      </c>
      <c r="F664">
        <v>77043.759999999995</v>
      </c>
      <c r="G664">
        <v>44973.599999999999</v>
      </c>
      <c r="H664">
        <v>257777.62</v>
      </c>
      <c r="I664">
        <v>56893.26</v>
      </c>
      <c r="J664">
        <v>4</v>
      </c>
      <c r="K664">
        <v>2</v>
      </c>
      <c r="L664" t="s">
        <v>30</v>
      </c>
      <c r="M664" t="s">
        <v>611</v>
      </c>
      <c r="N664" t="s">
        <v>612</v>
      </c>
    </row>
    <row r="665" spans="1:14" x14ac:dyDescent="0.25">
      <c r="A665" t="s">
        <v>68</v>
      </c>
      <c r="B665" t="s">
        <v>69</v>
      </c>
      <c r="C665" t="s">
        <v>51</v>
      </c>
      <c r="D665" s="13">
        <v>45541</v>
      </c>
      <c r="E665" t="s">
        <v>306</v>
      </c>
      <c r="F665">
        <v>61190.63</v>
      </c>
      <c r="G665">
        <v>31458.75</v>
      </c>
      <c r="H665">
        <v>268768.13</v>
      </c>
      <c r="I665">
        <v>61288.66</v>
      </c>
      <c r="J665">
        <v>2</v>
      </c>
      <c r="K665">
        <v>7</v>
      </c>
      <c r="L665" t="s">
        <v>30</v>
      </c>
      <c r="M665" t="s">
        <v>611</v>
      </c>
      <c r="N665" t="s">
        <v>612</v>
      </c>
    </row>
    <row r="666" spans="1:14" x14ac:dyDescent="0.25">
      <c r="A666" t="s">
        <v>74</v>
      </c>
      <c r="B666" t="s">
        <v>75</v>
      </c>
      <c r="C666" t="s">
        <v>51</v>
      </c>
      <c r="D666" s="13">
        <v>45541</v>
      </c>
      <c r="E666" t="s">
        <v>306</v>
      </c>
      <c r="F666">
        <v>59856.88</v>
      </c>
      <c r="G666">
        <v>30373.7</v>
      </c>
      <c r="H666">
        <v>14327</v>
      </c>
      <c r="I666">
        <v>3326.9</v>
      </c>
      <c r="J666">
        <v>5</v>
      </c>
      <c r="K666">
        <v>1</v>
      </c>
      <c r="L666" t="s">
        <v>30</v>
      </c>
      <c r="M666" t="s">
        <v>101</v>
      </c>
      <c r="N666" t="s">
        <v>613</v>
      </c>
    </row>
    <row r="667" spans="1:14" x14ac:dyDescent="0.25">
      <c r="A667" t="s">
        <v>78</v>
      </c>
      <c r="B667" t="s">
        <v>79</v>
      </c>
      <c r="C667" t="s">
        <v>137</v>
      </c>
      <c r="D667" s="13">
        <v>45541</v>
      </c>
      <c r="E667" t="s">
        <v>306</v>
      </c>
      <c r="F667">
        <v>22519.62</v>
      </c>
      <c r="G667">
        <v>13215.26</v>
      </c>
      <c r="H667">
        <v>97878.15</v>
      </c>
      <c r="I667">
        <v>20584.689999999999</v>
      </c>
      <c r="J667">
        <v>7</v>
      </c>
      <c r="K667">
        <v>8</v>
      </c>
      <c r="L667" t="s">
        <v>30</v>
      </c>
      <c r="M667" t="s">
        <v>101</v>
      </c>
      <c r="N667" t="s">
        <v>612</v>
      </c>
    </row>
    <row r="668" spans="1:14" x14ac:dyDescent="0.25">
      <c r="A668" t="s">
        <v>82</v>
      </c>
      <c r="B668" t="s">
        <v>83</v>
      </c>
      <c r="C668" t="s">
        <v>137</v>
      </c>
      <c r="D668" s="13">
        <v>45541</v>
      </c>
      <c r="E668" t="s">
        <v>306</v>
      </c>
      <c r="F668">
        <v>32853</v>
      </c>
      <c r="G668">
        <v>15468.99</v>
      </c>
      <c r="H668">
        <v>3222.19</v>
      </c>
      <c r="I668">
        <v>1025.68</v>
      </c>
      <c r="J668">
        <v>7</v>
      </c>
      <c r="K668">
        <v>3</v>
      </c>
      <c r="L668" t="s">
        <v>112</v>
      </c>
      <c r="M668" t="s">
        <v>611</v>
      </c>
      <c r="N668" t="s">
        <v>613</v>
      </c>
    </row>
    <row r="669" spans="1:14" x14ac:dyDescent="0.25">
      <c r="A669" t="s">
        <v>84</v>
      </c>
      <c r="B669" t="s">
        <v>85</v>
      </c>
      <c r="C669" t="s">
        <v>137</v>
      </c>
      <c r="D669" s="13">
        <v>45541</v>
      </c>
      <c r="E669" t="s">
        <v>306</v>
      </c>
      <c r="F669">
        <v>271074</v>
      </c>
      <c r="G669">
        <v>13912.01</v>
      </c>
      <c r="H669">
        <v>117981.05</v>
      </c>
      <c r="I669">
        <v>35081.410000000003</v>
      </c>
      <c r="J669">
        <v>8</v>
      </c>
      <c r="K669">
        <v>12</v>
      </c>
      <c r="L669" t="s">
        <v>112</v>
      </c>
      <c r="M669" t="s">
        <v>105</v>
      </c>
      <c r="N669" t="s">
        <v>612</v>
      </c>
    </row>
    <row r="670" spans="1:14" x14ac:dyDescent="0.25">
      <c r="A670" t="s">
        <v>90</v>
      </c>
      <c r="B670" t="s">
        <v>91</v>
      </c>
      <c r="C670" t="s">
        <v>137</v>
      </c>
      <c r="D670" s="13">
        <v>45541</v>
      </c>
      <c r="E670" t="s">
        <v>306</v>
      </c>
      <c r="F670">
        <v>12290.94</v>
      </c>
      <c r="G670">
        <v>5694.39</v>
      </c>
      <c r="H670">
        <v>40786.839999999997</v>
      </c>
      <c r="I670">
        <v>9120.1299999999992</v>
      </c>
      <c r="J670">
        <v>12</v>
      </c>
      <c r="K670">
        <v>10</v>
      </c>
      <c r="L670" t="s">
        <v>30</v>
      </c>
      <c r="M670" t="s">
        <v>26</v>
      </c>
      <c r="N670" t="s">
        <v>612</v>
      </c>
    </row>
    <row r="671" spans="1:14" x14ac:dyDescent="0.25">
      <c r="A671" t="s">
        <v>93</v>
      </c>
      <c r="B671" t="s">
        <v>94</v>
      </c>
      <c r="C671" t="s">
        <v>137</v>
      </c>
      <c r="D671" s="13">
        <v>45541</v>
      </c>
      <c r="E671" t="s">
        <v>306</v>
      </c>
      <c r="F671">
        <v>30013.64</v>
      </c>
      <c r="G671">
        <v>11661.67</v>
      </c>
      <c r="H671">
        <v>3830.12</v>
      </c>
      <c r="I671">
        <v>743.86</v>
      </c>
      <c r="J671">
        <v>3</v>
      </c>
      <c r="K671">
        <v>3</v>
      </c>
      <c r="L671" t="s">
        <v>30</v>
      </c>
      <c r="M671" t="s">
        <v>101</v>
      </c>
      <c r="N671" t="s">
        <v>613</v>
      </c>
    </row>
    <row r="672" spans="1:14" x14ac:dyDescent="0.25">
      <c r="A672" t="s">
        <v>96</v>
      </c>
      <c r="B672" t="s">
        <v>97</v>
      </c>
      <c r="C672" t="s">
        <v>137</v>
      </c>
      <c r="D672" s="13">
        <v>45541</v>
      </c>
      <c r="E672" t="s">
        <v>306</v>
      </c>
      <c r="F672">
        <v>9181.4599999999991</v>
      </c>
      <c r="G672">
        <v>4412.08</v>
      </c>
      <c r="H672">
        <v>44769.15</v>
      </c>
      <c r="I672">
        <v>10723.1</v>
      </c>
      <c r="J672">
        <v>5</v>
      </c>
      <c r="K672">
        <v>15</v>
      </c>
      <c r="L672" t="s">
        <v>112</v>
      </c>
      <c r="M672" t="s">
        <v>611</v>
      </c>
      <c r="N672" t="s">
        <v>612</v>
      </c>
    </row>
    <row r="673" spans="1:14" x14ac:dyDescent="0.25">
      <c r="A673" t="s">
        <v>21</v>
      </c>
      <c r="B673" t="s">
        <v>22</v>
      </c>
      <c r="C673" t="s">
        <v>16</v>
      </c>
      <c r="D673" s="13">
        <v>45548</v>
      </c>
      <c r="E673" t="s">
        <v>306</v>
      </c>
      <c r="F673">
        <v>152762.45000000001</v>
      </c>
      <c r="G673">
        <v>95517.64</v>
      </c>
      <c r="H673">
        <v>403565.22</v>
      </c>
      <c r="I673">
        <v>100765.03</v>
      </c>
      <c r="J673">
        <v>5</v>
      </c>
      <c r="K673">
        <v>6</v>
      </c>
      <c r="L673" t="s">
        <v>30</v>
      </c>
      <c r="M673" t="s">
        <v>115</v>
      </c>
      <c r="N673" t="s">
        <v>612</v>
      </c>
    </row>
    <row r="674" spans="1:14" x14ac:dyDescent="0.25">
      <c r="A674" t="s">
        <v>27</v>
      </c>
      <c r="B674" t="s">
        <v>28</v>
      </c>
      <c r="C674" t="s">
        <v>16</v>
      </c>
      <c r="D674" s="13">
        <v>45548</v>
      </c>
      <c r="E674" t="s">
        <v>306</v>
      </c>
      <c r="F674">
        <v>187617.36</v>
      </c>
      <c r="G674">
        <v>92852.51</v>
      </c>
      <c r="H674">
        <v>733414.44</v>
      </c>
      <c r="I674">
        <v>212915.09</v>
      </c>
      <c r="J674">
        <v>4</v>
      </c>
      <c r="K674">
        <v>1</v>
      </c>
      <c r="L674" t="s">
        <v>112</v>
      </c>
      <c r="M674" t="s">
        <v>611</v>
      </c>
      <c r="N674" t="s">
        <v>612</v>
      </c>
    </row>
    <row r="675" spans="1:14" x14ac:dyDescent="0.25">
      <c r="A675" t="s">
        <v>32</v>
      </c>
      <c r="B675" t="s">
        <v>33</v>
      </c>
      <c r="C675" t="s">
        <v>16</v>
      </c>
      <c r="D675" s="13">
        <v>45548</v>
      </c>
      <c r="E675" t="s">
        <v>306</v>
      </c>
      <c r="F675">
        <v>169137</v>
      </c>
      <c r="G675">
        <v>106508.58</v>
      </c>
      <c r="H675">
        <v>649680.87</v>
      </c>
      <c r="I675">
        <v>132891.74</v>
      </c>
      <c r="J675">
        <v>6</v>
      </c>
      <c r="K675">
        <v>8</v>
      </c>
      <c r="L675" t="s">
        <v>30</v>
      </c>
      <c r="M675" t="s">
        <v>611</v>
      </c>
      <c r="N675" t="s">
        <v>612</v>
      </c>
    </row>
    <row r="676" spans="1:14" x14ac:dyDescent="0.25">
      <c r="A676" t="s">
        <v>39</v>
      </c>
      <c r="B676" t="s">
        <v>40</v>
      </c>
      <c r="C676" t="s">
        <v>16</v>
      </c>
      <c r="D676" s="13">
        <v>45548</v>
      </c>
      <c r="E676" t="s">
        <v>306</v>
      </c>
      <c r="F676">
        <v>218248.51</v>
      </c>
      <c r="G676">
        <v>125558.36</v>
      </c>
      <c r="H676">
        <v>1059531.6499999999</v>
      </c>
      <c r="I676">
        <v>265956.59000000003</v>
      </c>
      <c r="J676">
        <v>6</v>
      </c>
      <c r="K676">
        <v>4</v>
      </c>
      <c r="L676" t="s">
        <v>30</v>
      </c>
      <c r="M676" t="s">
        <v>101</v>
      </c>
      <c r="N676" t="s">
        <v>612</v>
      </c>
    </row>
    <row r="677" spans="1:14" x14ac:dyDescent="0.25">
      <c r="A677" t="s">
        <v>44</v>
      </c>
      <c r="B677" t="s">
        <v>45</v>
      </c>
      <c r="C677" t="s">
        <v>16</v>
      </c>
      <c r="D677" s="13">
        <v>45548</v>
      </c>
      <c r="E677" t="s">
        <v>306</v>
      </c>
      <c r="F677">
        <v>212720.7</v>
      </c>
      <c r="G677">
        <v>129084.27</v>
      </c>
      <c r="H677">
        <v>1010611.76</v>
      </c>
      <c r="I677">
        <v>313164.34999999998</v>
      </c>
      <c r="J677">
        <v>4</v>
      </c>
      <c r="K677">
        <v>6</v>
      </c>
      <c r="L677" t="s">
        <v>30</v>
      </c>
      <c r="M677" t="s">
        <v>611</v>
      </c>
      <c r="N677" t="s">
        <v>612</v>
      </c>
    </row>
    <row r="678" spans="1:14" x14ac:dyDescent="0.25">
      <c r="A678" t="s">
        <v>49</v>
      </c>
      <c r="B678" t="s">
        <v>50</v>
      </c>
      <c r="C678" t="s">
        <v>51</v>
      </c>
      <c r="D678" s="13">
        <v>45548</v>
      </c>
      <c r="E678" t="s">
        <v>306</v>
      </c>
      <c r="F678">
        <v>29837.14</v>
      </c>
      <c r="G678">
        <v>24420.46</v>
      </c>
      <c r="H678">
        <v>88043.07</v>
      </c>
      <c r="I678">
        <v>26234.62</v>
      </c>
      <c r="J678">
        <v>4</v>
      </c>
      <c r="K678">
        <v>7</v>
      </c>
      <c r="L678" t="s">
        <v>30</v>
      </c>
      <c r="M678" t="s">
        <v>43</v>
      </c>
      <c r="N678" t="s">
        <v>612</v>
      </c>
    </row>
    <row r="679" spans="1:14" x14ac:dyDescent="0.25">
      <c r="A679" t="s">
        <v>55</v>
      </c>
      <c r="B679" t="s">
        <v>56</v>
      </c>
      <c r="C679" t="s">
        <v>51</v>
      </c>
      <c r="D679" s="13">
        <v>45548</v>
      </c>
      <c r="E679" t="s">
        <v>306</v>
      </c>
      <c r="F679">
        <v>59201.1</v>
      </c>
      <c r="G679">
        <v>35679.230000000003</v>
      </c>
      <c r="H679">
        <v>248080.64000000001</v>
      </c>
      <c r="I679">
        <v>48270.91</v>
      </c>
      <c r="J679">
        <v>1</v>
      </c>
      <c r="K679">
        <v>1</v>
      </c>
      <c r="L679" t="s">
        <v>112</v>
      </c>
      <c r="M679" t="s">
        <v>26</v>
      </c>
      <c r="N679" t="s">
        <v>612</v>
      </c>
    </row>
    <row r="680" spans="1:14" x14ac:dyDescent="0.25">
      <c r="A680" t="s">
        <v>59</v>
      </c>
      <c r="B680" t="s">
        <v>60</v>
      </c>
      <c r="C680" t="s">
        <v>51</v>
      </c>
      <c r="D680" s="13">
        <v>45548</v>
      </c>
      <c r="E680" t="s">
        <v>306</v>
      </c>
      <c r="F680">
        <v>116924.44</v>
      </c>
      <c r="G680">
        <v>46083.81</v>
      </c>
      <c r="H680">
        <v>377005.63</v>
      </c>
      <c r="I680">
        <v>103872.92</v>
      </c>
      <c r="J680">
        <v>2</v>
      </c>
      <c r="K680">
        <v>3</v>
      </c>
      <c r="L680" t="s">
        <v>30</v>
      </c>
      <c r="M680" t="s">
        <v>127</v>
      </c>
      <c r="N680" t="s">
        <v>612</v>
      </c>
    </row>
    <row r="681" spans="1:14" x14ac:dyDescent="0.25">
      <c r="A681" t="s">
        <v>62</v>
      </c>
      <c r="B681" t="s">
        <v>63</v>
      </c>
      <c r="C681" t="s">
        <v>51</v>
      </c>
      <c r="D681" s="13">
        <v>45548</v>
      </c>
      <c r="E681" t="s">
        <v>306</v>
      </c>
      <c r="F681">
        <v>38798</v>
      </c>
      <c r="G681">
        <v>23323.29</v>
      </c>
      <c r="H681">
        <v>182376.74</v>
      </c>
      <c r="I681">
        <v>47613.02</v>
      </c>
      <c r="J681">
        <v>1</v>
      </c>
      <c r="K681">
        <v>3</v>
      </c>
      <c r="L681" t="s">
        <v>30</v>
      </c>
      <c r="M681" t="s">
        <v>26</v>
      </c>
      <c r="N681" t="s">
        <v>612</v>
      </c>
    </row>
    <row r="682" spans="1:14" x14ac:dyDescent="0.25">
      <c r="A682" t="s">
        <v>66</v>
      </c>
      <c r="B682" t="s">
        <v>67</v>
      </c>
      <c r="C682" t="s">
        <v>51</v>
      </c>
      <c r="D682" s="13">
        <v>45548</v>
      </c>
      <c r="E682" t="s">
        <v>306</v>
      </c>
      <c r="F682">
        <v>34133.4</v>
      </c>
      <c r="G682">
        <v>17408.75</v>
      </c>
      <c r="H682">
        <v>163564.18</v>
      </c>
      <c r="I682">
        <v>55440.88</v>
      </c>
      <c r="J682">
        <v>6</v>
      </c>
      <c r="K682">
        <v>7</v>
      </c>
      <c r="L682" t="s">
        <v>30</v>
      </c>
      <c r="M682" t="s">
        <v>611</v>
      </c>
      <c r="N682" t="s">
        <v>612</v>
      </c>
    </row>
    <row r="683" spans="1:14" x14ac:dyDescent="0.25">
      <c r="A683" t="s">
        <v>68</v>
      </c>
      <c r="B683" t="s">
        <v>69</v>
      </c>
      <c r="C683" t="s">
        <v>51</v>
      </c>
      <c r="D683" s="13">
        <v>45548</v>
      </c>
      <c r="E683" t="s">
        <v>306</v>
      </c>
      <c r="F683">
        <v>41521.39</v>
      </c>
      <c r="G683">
        <v>23006.43</v>
      </c>
      <c r="H683">
        <v>154626.59</v>
      </c>
      <c r="I683">
        <v>29199.98</v>
      </c>
      <c r="J683">
        <v>2</v>
      </c>
      <c r="K683">
        <v>1</v>
      </c>
      <c r="L683" t="s">
        <v>112</v>
      </c>
      <c r="M683" t="s">
        <v>611</v>
      </c>
      <c r="N683" t="s">
        <v>612</v>
      </c>
    </row>
    <row r="684" spans="1:14" x14ac:dyDescent="0.25">
      <c r="A684" t="s">
        <v>78</v>
      </c>
      <c r="B684" t="s">
        <v>79</v>
      </c>
      <c r="C684" t="s">
        <v>137</v>
      </c>
      <c r="D684" s="13">
        <v>45548</v>
      </c>
      <c r="E684" t="s">
        <v>306</v>
      </c>
      <c r="F684">
        <v>33016.720000000001</v>
      </c>
      <c r="G684">
        <v>18645.55</v>
      </c>
      <c r="H684">
        <v>113963.08</v>
      </c>
      <c r="I684">
        <v>27875.7</v>
      </c>
      <c r="J684">
        <v>2</v>
      </c>
      <c r="K684">
        <v>6</v>
      </c>
      <c r="L684" t="s">
        <v>30</v>
      </c>
      <c r="M684" t="s">
        <v>43</v>
      </c>
      <c r="N684" t="s">
        <v>612</v>
      </c>
    </row>
    <row r="685" spans="1:14" x14ac:dyDescent="0.25">
      <c r="A685" t="s">
        <v>82</v>
      </c>
      <c r="B685" t="s">
        <v>83</v>
      </c>
      <c r="C685" t="s">
        <v>137</v>
      </c>
      <c r="D685" s="13">
        <v>45548</v>
      </c>
      <c r="E685" t="s">
        <v>306</v>
      </c>
      <c r="F685">
        <v>36981.199999999997</v>
      </c>
      <c r="G685">
        <v>13799.5</v>
      </c>
      <c r="H685">
        <v>177396.59</v>
      </c>
      <c r="I685">
        <v>52022.94</v>
      </c>
      <c r="J685">
        <v>7</v>
      </c>
      <c r="K685">
        <v>9</v>
      </c>
      <c r="L685" t="s">
        <v>30</v>
      </c>
      <c r="M685" t="s">
        <v>26</v>
      </c>
      <c r="N685" t="s">
        <v>612</v>
      </c>
    </row>
    <row r="686" spans="1:14" x14ac:dyDescent="0.25">
      <c r="A686" t="s">
        <v>84</v>
      </c>
      <c r="B686" t="s">
        <v>85</v>
      </c>
      <c r="C686" t="s">
        <v>137</v>
      </c>
      <c r="D686" s="13">
        <v>45548</v>
      </c>
      <c r="E686" t="s">
        <v>306</v>
      </c>
      <c r="F686">
        <v>8260.42</v>
      </c>
      <c r="G686">
        <v>5050.3999999999996</v>
      </c>
      <c r="H686">
        <v>39421.03</v>
      </c>
      <c r="I686">
        <v>11001.16</v>
      </c>
      <c r="J686">
        <v>9</v>
      </c>
      <c r="K686">
        <v>15</v>
      </c>
      <c r="L686" t="s">
        <v>112</v>
      </c>
      <c r="M686" t="s">
        <v>26</v>
      </c>
      <c r="N686" t="s">
        <v>612</v>
      </c>
    </row>
    <row r="687" spans="1:14" x14ac:dyDescent="0.25">
      <c r="A687" t="s">
        <v>87</v>
      </c>
      <c r="B687" t="s">
        <v>88</v>
      </c>
      <c r="C687" t="s">
        <v>137</v>
      </c>
      <c r="D687" s="13">
        <v>45548</v>
      </c>
      <c r="E687" t="s">
        <v>306</v>
      </c>
      <c r="F687">
        <v>10472.82</v>
      </c>
      <c r="G687">
        <v>6148.8</v>
      </c>
      <c r="H687">
        <v>27491.119999999999</v>
      </c>
      <c r="I687">
        <v>6445.81</v>
      </c>
      <c r="J687">
        <v>10</v>
      </c>
      <c r="K687">
        <v>5</v>
      </c>
      <c r="L687" t="s">
        <v>30</v>
      </c>
      <c r="M687" t="s">
        <v>611</v>
      </c>
      <c r="N687" t="s">
        <v>612</v>
      </c>
    </row>
    <row r="688" spans="1:14" x14ac:dyDescent="0.25">
      <c r="A688" t="s">
        <v>90</v>
      </c>
      <c r="B688" t="s">
        <v>91</v>
      </c>
      <c r="C688" t="s">
        <v>137</v>
      </c>
      <c r="D688" s="13">
        <v>45548</v>
      </c>
      <c r="E688" t="s">
        <v>306</v>
      </c>
      <c r="F688">
        <v>8170.46</v>
      </c>
      <c r="G688">
        <v>3999.8</v>
      </c>
      <c r="H688">
        <v>38363.93</v>
      </c>
      <c r="I688">
        <v>8140.39</v>
      </c>
      <c r="J688">
        <v>3</v>
      </c>
      <c r="K688">
        <v>4</v>
      </c>
      <c r="L688" t="s">
        <v>30</v>
      </c>
      <c r="M688" t="s">
        <v>73</v>
      </c>
      <c r="N688" t="s">
        <v>612</v>
      </c>
    </row>
    <row r="689" spans="1:14" x14ac:dyDescent="0.25">
      <c r="A689" t="s">
        <v>93</v>
      </c>
      <c r="B689" t="s">
        <v>94</v>
      </c>
      <c r="C689" t="s">
        <v>137</v>
      </c>
      <c r="D689" s="13">
        <v>45548</v>
      </c>
      <c r="E689" t="s">
        <v>306</v>
      </c>
      <c r="F689">
        <v>19564.09</v>
      </c>
      <c r="G689">
        <v>6669.68</v>
      </c>
      <c r="H689">
        <v>61219</v>
      </c>
      <c r="I689">
        <v>11692.35</v>
      </c>
      <c r="J689">
        <v>3</v>
      </c>
      <c r="K689">
        <v>12</v>
      </c>
      <c r="L689" t="s">
        <v>30</v>
      </c>
      <c r="M689" t="s">
        <v>611</v>
      </c>
      <c r="N689" t="s">
        <v>612</v>
      </c>
    </row>
    <row r="690" spans="1:14" x14ac:dyDescent="0.25">
      <c r="A690" t="s">
        <v>96</v>
      </c>
      <c r="B690" t="s">
        <v>97</v>
      </c>
      <c r="C690" t="s">
        <v>137</v>
      </c>
      <c r="D690" s="13">
        <v>45548</v>
      </c>
      <c r="E690" t="s">
        <v>306</v>
      </c>
      <c r="F690">
        <v>32690.87</v>
      </c>
      <c r="G690">
        <v>18669.8</v>
      </c>
      <c r="H690">
        <v>128246.38</v>
      </c>
      <c r="I690">
        <v>30040.54</v>
      </c>
      <c r="J690">
        <v>7</v>
      </c>
      <c r="K690">
        <v>3</v>
      </c>
      <c r="L690" t="s">
        <v>30</v>
      </c>
      <c r="M690" t="s">
        <v>115</v>
      </c>
      <c r="N690" t="s">
        <v>612</v>
      </c>
    </row>
    <row r="691" spans="1:14" x14ac:dyDescent="0.25">
      <c r="A691" t="s">
        <v>14</v>
      </c>
      <c r="B691" t="s">
        <v>15</v>
      </c>
      <c r="C691" t="s">
        <v>16</v>
      </c>
      <c r="D691" s="13">
        <v>45555</v>
      </c>
      <c r="E691" t="s">
        <v>306</v>
      </c>
      <c r="F691">
        <v>137362.54</v>
      </c>
      <c r="G691">
        <v>70724.34</v>
      </c>
      <c r="H691">
        <v>502617.71</v>
      </c>
      <c r="I691">
        <v>129107.41</v>
      </c>
      <c r="J691">
        <v>2</v>
      </c>
      <c r="K691">
        <v>7</v>
      </c>
      <c r="L691" t="s">
        <v>30</v>
      </c>
      <c r="M691" t="s">
        <v>125</v>
      </c>
      <c r="N691" t="s">
        <v>612</v>
      </c>
    </row>
    <row r="692" spans="1:14" x14ac:dyDescent="0.25">
      <c r="A692" t="s">
        <v>21</v>
      </c>
      <c r="B692" t="s">
        <v>22</v>
      </c>
      <c r="C692" t="s">
        <v>16</v>
      </c>
      <c r="D692" s="13">
        <v>45555</v>
      </c>
      <c r="E692" t="s">
        <v>306</v>
      </c>
      <c r="F692">
        <v>169608.62</v>
      </c>
      <c r="G692">
        <v>115667.85</v>
      </c>
      <c r="H692">
        <v>21785.61</v>
      </c>
      <c r="I692">
        <v>5045.5200000000004</v>
      </c>
      <c r="J692">
        <v>5</v>
      </c>
      <c r="K692">
        <v>5</v>
      </c>
      <c r="L692" t="s">
        <v>30</v>
      </c>
      <c r="M692" t="s">
        <v>26</v>
      </c>
      <c r="N692" t="s">
        <v>613</v>
      </c>
    </row>
    <row r="693" spans="1:14" x14ac:dyDescent="0.25">
      <c r="A693" t="s">
        <v>27</v>
      </c>
      <c r="B693" t="s">
        <v>28</v>
      </c>
      <c r="C693" t="s">
        <v>16</v>
      </c>
      <c r="D693" s="13">
        <v>45555</v>
      </c>
      <c r="E693" t="s">
        <v>306</v>
      </c>
      <c r="F693">
        <v>178843.37</v>
      </c>
      <c r="G693">
        <v>85539.99</v>
      </c>
      <c r="H693">
        <v>806414.63</v>
      </c>
      <c r="I693">
        <v>146932.37</v>
      </c>
      <c r="J693">
        <v>3</v>
      </c>
      <c r="K693">
        <v>8</v>
      </c>
      <c r="L693" t="s">
        <v>30</v>
      </c>
      <c r="M693" t="s">
        <v>611</v>
      </c>
      <c r="N693" t="s">
        <v>612</v>
      </c>
    </row>
    <row r="694" spans="1:14" x14ac:dyDescent="0.25">
      <c r="A694" t="s">
        <v>32</v>
      </c>
      <c r="B694" t="s">
        <v>33</v>
      </c>
      <c r="C694" t="s">
        <v>16</v>
      </c>
      <c r="D694" s="13">
        <v>45555</v>
      </c>
      <c r="E694" t="s">
        <v>306</v>
      </c>
      <c r="F694">
        <v>200973.66</v>
      </c>
      <c r="G694">
        <v>129444.35</v>
      </c>
      <c r="H694">
        <v>511332.14</v>
      </c>
      <c r="I694">
        <v>113433.24</v>
      </c>
      <c r="J694">
        <v>3</v>
      </c>
      <c r="K694">
        <v>2</v>
      </c>
      <c r="L694" t="s">
        <v>30</v>
      </c>
      <c r="M694" t="s">
        <v>611</v>
      </c>
      <c r="N694" t="s">
        <v>612</v>
      </c>
    </row>
    <row r="695" spans="1:14" x14ac:dyDescent="0.25">
      <c r="A695" t="s">
        <v>39</v>
      </c>
      <c r="B695" t="s">
        <v>40</v>
      </c>
      <c r="C695" t="s">
        <v>16</v>
      </c>
      <c r="D695" s="13">
        <v>45555</v>
      </c>
      <c r="E695" t="s">
        <v>306</v>
      </c>
      <c r="F695">
        <v>112049.74</v>
      </c>
      <c r="G695">
        <v>55733.94</v>
      </c>
      <c r="H695">
        <v>416989.72</v>
      </c>
      <c r="I695">
        <v>76433.19</v>
      </c>
      <c r="J695">
        <v>5</v>
      </c>
      <c r="K695">
        <v>4</v>
      </c>
      <c r="L695" t="s">
        <v>112</v>
      </c>
      <c r="M695" t="s">
        <v>26</v>
      </c>
      <c r="N695" t="s">
        <v>612</v>
      </c>
    </row>
    <row r="696" spans="1:14" x14ac:dyDescent="0.25">
      <c r="A696" t="s">
        <v>44</v>
      </c>
      <c r="B696" t="s">
        <v>45</v>
      </c>
      <c r="C696" t="s">
        <v>16</v>
      </c>
      <c r="D696" s="13">
        <v>45555</v>
      </c>
      <c r="E696" t="s">
        <v>306</v>
      </c>
      <c r="F696">
        <v>188840.65</v>
      </c>
      <c r="G696">
        <v>95410.240000000005</v>
      </c>
      <c r="H696">
        <v>643843.92000000004</v>
      </c>
      <c r="I696">
        <v>167745.15</v>
      </c>
      <c r="J696">
        <v>2</v>
      </c>
      <c r="K696">
        <v>3</v>
      </c>
      <c r="L696" t="s">
        <v>30</v>
      </c>
      <c r="M696" t="s">
        <v>101</v>
      </c>
      <c r="N696" t="s">
        <v>612</v>
      </c>
    </row>
    <row r="697" spans="1:14" x14ac:dyDescent="0.25">
      <c r="A697" t="s">
        <v>49</v>
      </c>
      <c r="B697" t="s">
        <v>50</v>
      </c>
      <c r="C697" t="s">
        <v>51</v>
      </c>
      <c r="D697" s="13">
        <v>45555</v>
      </c>
      <c r="E697" t="s">
        <v>306</v>
      </c>
      <c r="F697">
        <v>50891.95</v>
      </c>
      <c r="G697">
        <v>32592.720000000001</v>
      </c>
      <c r="H697">
        <v>220806</v>
      </c>
      <c r="I697">
        <v>69731.73</v>
      </c>
      <c r="J697">
        <v>3</v>
      </c>
      <c r="K697">
        <v>1</v>
      </c>
      <c r="L697" t="s">
        <v>30</v>
      </c>
      <c r="M697" t="s">
        <v>611</v>
      </c>
      <c r="N697" t="s">
        <v>612</v>
      </c>
    </row>
    <row r="698" spans="1:14" x14ac:dyDescent="0.25">
      <c r="A698" t="s">
        <v>55</v>
      </c>
      <c r="B698" t="s">
        <v>56</v>
      </c>
      <c r="C698" t="s">
        <v>51</v>
      </c>
      <c r="D698" s="13">
        <v>45555</v>
      </c>
      <c r="E698" t="s">
        <v>306</v>
      </c>
      <c r="F698">
        <v>84588.4</v>
      </c>
      <c r="G698">
        <v>48653.38</v>
      </c>
      <c r="H698">
        <v>337051</v>
      </c>
      <c r="I698">
        <v>66843.02</v>
      </c>
      <c r="J698">
        <v>3</v>
      </c>
      <c r="K698">
        <v>3</v>
      </c>
      <c r="L698" t="s">
        <v>30</v>
      </c>
      <c r="M698" t="s">
        <v>611</v>
      </c>
      <c r="N698" t="s">
        <v>612</v>
      </c>
    </row>
    <row r="699" spans="1:14" x14ac:dyDescent="0.25">
      <c r="A699" t="s">
        <v>59</v>
      </c>
      <c r="B699" t="s">
        <v>60</v>
      </c>
      <c r="C699" t="s">
        <v>51</v>
      </c>
      <c r="D699" s="13">
        <v>45555</v>
      </c>
      <c r="E699" t="s">
        <v>306</v>
      </c>
      <c r="F699">
        <v>71524.039999999994</v>
      </c>
      <c r="G699">
        <v>29193.74</v>
      </c>
      <c r="H699">
        <v>294380.13</v>
      </c>
      <c r="I699">
        <v>69333.52</v>
      </c>
      <c r="J699">
        <v>1</v>
      </c>
      <c r="K699">
        <v>7</v>
      </c>
      <c r="L699" t="s">
        <v>30</v>
      </c>
      <c r="M699" t="s">
        <v>43</v>
      </c>
      <c r="N699" t="s">
        <v>612</v>
      </c>
    </row>
    <row r="700" spans="1:14" x14ac:dyDescent="0.25">
      <c r="A700" t="s">
        <v>62</v>
      </c>
      <c r="B700" t="s">
        <v>63</v>
      </c>
      <c r="C700" t="s">
        <v>51</v>
      </c>
      <c r="D700" s="13">
        <v>45555</v>
      </c>
      <c r="E700" t="s">
        <v>306</v>
      </c>
      <c r="F700">
        <v>39802.9</v>
      </c>
      <c r="G700">
        <v>18642.560000000001</v>
      </c>
      <c r="H700">
        <v>196260.1</v>
      </c>
      <c r="I700">
        <v>49094.29</v>
      </c>
      <c r="J700">
        <v>1</v>
      </c>
      <c r="K700">
        <v>6</v>
      </c>
      <c r="L700" t="s">
        <v>30</v>
      </c>
      <c r="M700" t="s">
        <v>125</v>
      </c>
      <c r="N700" t="s">
        <v>612</v>
      </c>
    </row>
    <row r="701" spans="1:14" x14ac:dyDescent="0.25">
      <c r="A701" t="s">
        <v>68</v>
      </c>
      <c r="B701" t="s">
        <v>69</v>
      </c>
      <c r="C701" t="s">
        <v>51</v>
      </c>
      <c r="D701" s="13">
        <v>45555</v>
      </c>
      <c r="E701" t="s">
        <v>306</v>
      </c>
      <c r="F701">
        <v>45645.279999999999</v>
      </c>
      <c r="G701">
        <v>26426.41</v>
      </c>
      <c r="H701">
        <v>1270102</v>
      </c>
      <c r="I701">
        <v>26222.92</v>
      </c>
      <c r="J701">
        <v>1</v>
      </c>
      <c r="K701">
        <v>1</v>
      </c>
      <c r="L701" t="s">
        <v>30</v>
      </c>
      <c r="M701" t="s">
        <v>611</v>
      </c>
      <c r="N701" t="s">
        <v>612</v>
      </c>
    </row>
    <row r="702" spans="1:14" x14ac:dyDescent="0.25">
      <c r="A702" t="s">
        <v>74</v>
      </c>
      <c r="B702" t="s">
        <v>75</v>
      </c>
      <c r="C702" t="s">
        <v>51</v>
      </c>
      <c r="D702" s="13">
        <v>45555</v>
      </c>
      <c r="E702" t="s">
        <v>306</v>
      </c>
      <c r="F702">
        <v>32407</v>
      </c>
      <c r="G702">
        <v>15937.1</v>
      </c>
      <c r="H702">
        <v>81598.98</v>
      </c>
      <c r="I702">
        <v>22755.439999999999</v>
      </c>
      <c r="J702">
        <v>3</v>
      </c>
      <c r="K702">
        <v>8</v>
      </c>
      <c r="L702" t="s">
        <v>30</v>
      </c>
      <c r="M702" t="s">
        <v>125</v>
      </c>
      <c r="N702" t="s">
        <v>612</v>
      </c>
    </row>
    <row r="703" spans="1:14" x14ac:dyDescent="0.25">
      <c r="A703" t="s">
        <v>78</v>
      </c>
      <c r="B703" t="s">
        <v>79</v>
      </c>
      <c r="C703" t="s">
        <v>137</v>
      </c>
      <c r="D703" s="13">
        <v>45555</v>
      </c>
      <c r="E703" t="s">
        <v>306</v>
      </c>
      <c r="F703">
        <v>28362</v>
      </c>
      <c r="G703">
        <v>13873.71</v>
      </c>
      <c r="H703">
        <v>98746.8</v>
      </c>
      <c r="I703">
        <v>25356.25</v>
      </c>
      <c r="J703">
        <v>9</v>
      </c>
      <c r="K703">
        <v>6</v>
      </c>
      <c r="L703" t="s">
        <v>30</v>
      </c>
      <c r="M703" t="s">
        <v>611</v>
      </c>
      <c r="N703" t="s">
        <v>612</v>
      </c>
    </row>
    <row r="704" spans="1:14" x14ac:dyDescent="0.25">
      <c r="A704" t="s">
        <v>82</v>
      </c>
      <c r="B704" t="s">
        <v>83</v>
      </c>
      <c r="C704" t="s">
        <v>137</v>
      </c>
      <c r="D704" s="13">
        <v>45555</v>
      </c>
      <c r="E704" t="s">
        <v>306</v>
      </c>
      <c r="F704">
        <v>21225.49</v>
      </c>
      <c r="G704">
        <v>9133.9500000000007</v>
      </c>
      <c r="H704">
        <v>3719.21</v>
      </c>
      <c r="I704">
        <v>1027.8499999999999</v>
      </c>
      <c r="J704">
        <v>6</v>
      </c>
      <c r="K704">
        <v>6</v>
      </c>
      <c r="L704" t="s">
        <v>30</v>
      </c>
      <c r="M704" t="s">
        <v>611</v>
      </c>
      <c r="N704" t="s">
        <v>613</v>
      </c>
    </row>
    <row r="705" spans="1:14" x14ac:dyDescent="0.25">
      <c r="A705" t="s">
        <v>84</v>
      </c>
      <c r="B705" t="s">
        <v>85</v>
      </c>
      <c r="C705" t="s">
        <v>137</v>
      </c>
      <c r="D705" s="13">
        <v>45555</v>
      </c>
      <c r="E705" t="s">
        <v>306</v>
      </c>
      <c r="F705">
        <v>18550.37</v>
      </c>
      <c r="G705">
        <v>11763.97</v>
      </c>
      <c r="H705">
        <v>72384.92</v>
      </c>
      <c r="I705">
        <v>25172.06</v>
      </c>
      <c r="J705">
        <v>5</v>
      </c>
      <c r="K705">
        <v>9</v>
      </c>
      <c r="L705" t="s">
        <v>30</v>
      </c>
      <c r="M705" t="s">
        <v>611</v>
      </c>
      <c r="N705" t="s">
        <v>612</v>
      </c>
    </row>
    <row r="706" spans="1:14" x14ac:dyDescent="0.25">
      <c r="A706" t="s">
        <v>87</v>
      </c>
      <c r="B706" t="s">
        <v>88</v>
      </c>
      <c r="C706" t="s">
        <v>137</v>
      </c>
      <c r="D706" s="13">
        <v>45555</v>
      </c>
      <c r="E706" t="s">
        <v>306</v>
      </c>
      <c r="F706">
        <v>10625.28</v>
      </c>
      <c r="G706">
        <v>6153.68</v>
      </c>
      <c r="H706">
        <v>46269.03</v>
      </c>
      <c r="I706">
        <v>10530.66</v>
      </c>
      <c r="J706">
        <v>12</v>
      </c>
      <c r="K706">
        <v>8</v>
      </c>
      <c r="L706" t="s">
        <v>30</v>
      </c>
      <c r="M706" t="s">
        <v>113</v>
      </c>
      <c r="N706" t="s">
        <v>612</v>
      </c>
    </row>
    <row r="707" spans="1:14" x14ac:dyDescent="0.25">
      <c r="A707" t="s">
        <v>90</v>
      </c>
      <c r="B707" t="s">
        <v>91</v>
      </c>
      <c r="C707" t="s">
        <v>137</v>
      </c>
      <c r="D707" s="13">
        <v>45555</v>
      </c>
      <c r="E707" t="s">
        <v>306</v>
      </c>
      <c r="F707">
        <v>33165.17</v>
      </c>
      <c r="G707">
        <v>15671.12</v>
      </c>
      <c r="H707">
        <v>102381.1</v>
      </c>
      <c r="I707">
        <v>28519.49</v>
      </c>
      <c r="J707">
        <v>10</v>
      </c>
      <c r="K707">
        <v>13</v>
      </c>
      <c r="L707" t="s">
        <v>30</v>
      </c>
      <c r="M707" t="s">
        <v>611</v>
      </c>
      <c r="N707" t="s">
        <v>612</v>
      </c>
    </row>
    <row r="708" spans="1:14" x14ac:dyDescent="0.25">
      <c r="A708" t="s">
        <v>93</v>
      </c>
      <c r="B708" t="s">
        <v>94</v>
      </c>
      <c r="C708" t="s">
        <v>137</v>
      </c>
      <c r="D708" s="13">
        <v>45555</v>
      </c>
      <c r="E708" t="s">
        <v>306</v>
      </c>
      <c r="F708">
        <v>26773.43</v>
      </c>
      <c r="G708">
        <v>12950.92</v>
      </c>
      <c r="H708">
        <v>71151.06</v>
      </c>
      <c r="I708">
        <v>16203.94</v>
      </c>
      <c r="J708">
        <v>6</v>
      </c>
      <c r="K708">
        <v>12</v>
      </c>
      <c r="L708" t="s">
        <v>30</v>
      </c>
      <c r="M708" t="s">
        <v>115</v>
      </c>
      <c r="N708" t="s">
        <v>612</v>
      </c>
    </row>
    <row r="709" spans="1:14" x14ac:dyDescent="0.25">
      <c r="A709" t="s">
        <v>96</v>
      </c>
      <c r="B709" t="s">
        <v>97</v>
      </c>
      <c r="C709" t="s">
        <v>137</v>
      </c>
      <c r="D709" s="13">
        <v>45555</v>
      </c>
      <c r="E709" t="s">
        <v>306</v>
      </c>
      <c r="F709">
        <v>30555.599999999999</v>
      </c>
      <c r="G709">
        <v>19568.7</v>
      </c>
      <c r="H709">
        <v>136886.31</v>
      </c>
      <c r="I709">
        <v>41918.61</v>
      </c>
      <c r="J709">
        <v>6</v>
      </c>
      <c r="K709">
        <v>9</v>
      </c>
      <c r="L709" t="s">
        <v>30</v>
      </c>
      <c r="M709" t="s">
        <v>611</v>
      </c>
      <c r="N709" t="s">
        <v>612</v>
      </c>
    </row>
    <row r="710" spans="1:14" x14ac:dyDescent="0.25">
      <c r="A710" t="s">
        <v>14</v>
      </c>
      <c r="B710" t="s">
        <v>15</v>
      </c>
      <c r="C710" t="s">
        <v>16</v>
      </c>
      <c r="D710" s="13">
        <v>45562</v>
      </c>
      <c r="E710" t="s">
        <v>306</v>
      </c>
      <c r="F710">
        <v>128550.28</v>
      </c>
      <c r="G710">
        <v>68177.39</v>
      </c>
      <c r="H710">
        <v>637452.82999999996</v>
      </c>
      <c r="I710">
        <v>130740.07</v>
      </c>
      <c r="J710">
        <v>6</v>
      </c>
      <c r="K710">
        <v>8</v>
      </c>
      <c r="L710" t="s">
        <v>30</v>
      </c>
      <c r="M710" t="s">
        <v>611</v>
      </c>
      <c r="N710" t="s">
        <v>612</v>
      </c>
    </row>
    <row r="711" spans="1:14" x14ac:dyDescent="0.25">
      <c r="A711" t="s">
        <v>21</v>
      </c>
      <c r="B711" t="s">
        <v>22</v>
      </c>
      <c r="C711" t="s">
        <v>16</v>
      </c>
      <c r="D711" s="13">
        <v>45562</v>
      </c>
      <c r="E711" t="s">
        <v>306</v>
      </c>
      <c r="F711">
        <v>110557.17</v>
      </c>
      <c r="G711">
        <v>80651.039999999994</v>
      </c>
      <c r="H711">
        <v>441894.95</v>
      </c>
      <c r="I711">
        <v>142043.70000000001</v>
      </c>
      <c r="J711">
        <v>2</v>
      </c>
      <c r="K711">
        <v>3</v>
      </c>
      <c r="L711" t="s">
        <v>30</v>
      </c>
      <c r="M711" t="s">
        <v>611</v>
      </c>
      <c r="N711" t="s">
        <v>612</v>
      </c>
    </row>
    <row r="712" spans="1:14" x14ac:dyDescent="0.25">
      <c r="A712" t="s">
        <v>27</v>
      </c>
      <c r="B712" t="s">
        <v>28</v>
      </c>
      <c r="C712" t="s">
        <v>16</v>
      </c>
      <c r="D712" s="13">
        <v>45562</v>
      </c>
      <c r="E712" t="s">
        <v>306</v>
      </c>
      <c r="F712">
        <v>80565.67</v>
      </c>
      <c r="G712">
        <v>46963.94</v>
      </c>
      <c r="H712">
        <v>350402.51</v>
      </c>
      <c r="I712">
        <v>109995.94</v>
      </c>
      <c r="J712">
        <v>4</v>
      </c>
      <c r="K712">
        <v>3</v>
      </c>
      <c r="L712" t="s">
        <v>30</v>
      </c>
      <c r="M712" t="s">
        <v>127</v>
      </c>
      <c r="N712" t="s">
        <v>612</v>
      </c>
    </row>
    <row r="713" spans="1:14" x14ac:dyDescent="0.25">
      <c r="A713" t="s">
        <v>32</v>
      </c>
      <c r="B713" t="s">
        <v>33</v>
      </c>
      <c r="C713" t="s">
        <v>16</v>
      </c>
      <c r="D713" s="13">
        <v>45562</v>
      </c>
      <c r="E713" t="s">
        <v>306</v>
      </c>
      <c r="F713">
        <v>170146.32</v>
      </c>
      <c r="G713">
        <v>100180.21</v>
      </c>
      <c r="H713">
        <v>730013.58</v>
      </c>
      <c r="I713">
        <v>251692.39</v>
      </c>
      <c r="J713">
        <v>1</v>
      </c>
      <c r="K713">
        <v>4</v>
      </c>
      <c r="L713" t="s">
        <v>30</v>
      </c>
      <c r="M713" t="s">
        <v>101</v>
      </c>
      <c r="N713" t="s">
        <v>612</v>
      </c>
    </row>
    <row r="714" spans="1:14" x14ac:dyDescent="0.25">
      <c r="A714" t="s">
        <v>49</v>
      </c>
      <c r="B714" t="s">
        <v>50</v>
      </c>
      <c r="C714" t="s">
        <v>51</v>
      </c>
      <c r="D714" s="13">
        <v>45562</v>
      </c>
      <c r="E714" t="s">
        <v>306</v>
      </c>
      <c r="F714">
        <v>32620.78</v>
      </c>
      <c r="G714">
        <v>20599.68</v>
      </c>
      <c r="H714">
        <v>115960.15</v>
      </c>
      <c r="I714">
        <v>28817.27</v>
      </c>
      <c r="J714">
        <v>6</v>
      </c>
      <c r="K714">
        <v>2</v>
      </c>
      <c r="L714" t="s">
        <v>30</v>
      </c>
      <c r="M714" t="s">
        <v>611</v>
      </c>
      <c r="N714" t="s">
        <v>612</v>
      </c>
    </row>
    <row r="715" spans="1:14" x14ac:dyDescent="0.25">
      <c r="A715" t="s">
        <v>55</v>
      </c>
      <c r="B715" t="s">
        <v>56</v>
      </c>
      <c r="C715" t="s">
        <v>51</v>
      </c>
      <c r="D715" s="13">
        <v>45562</v>
      </c>
      <c r="E715" t="s">
        <v>306</v>
      </c>
      <c r="F715">
        <v>59999.69</v>
      </c>
      <c r="G715">
        <v>30069.23</v>
      </c>
      <c r="H715">
        <v>279174.78999999998</v>
      </c>
      <c r="I715">
        <v>75833.070000000007</v>
      </c>
      <c r="J715">
        <v>1</v>
      </c>
      <c r="K715">
        <v>8</v>
      </c>
      <c r="L715" t="s">
        <v>30</v>
      </c>
      <c r="M715" t="s">
        <v>611</v>
      </c>
      <c r="N715" t="s">
        <v>612</v>
      </c>
    </row>
    <row r="716" spans="1:14" x14ac:dyDescent="0.25">
      <c r="A716" t="s">
        <v>59</v>
      </c>
      <c r="B716" t="s">
        <v>60</v>
      </c>
      <c r="C716" t="s">
        <v>51</v>
      </c>
      <c r="D716" s="13">
        <v>45562</v>
      </c>
      <c r="E716" t="s">
        <v>306</v>
      </c>
      <c r="F716">
        <v>499130</v>
      </c>
      <c r="G716">
        <v>20470.439999999999</v>
      </c>
      <c r="H716">
        <v>178673.47</v>
      </c>
      <c r="I716">
        <v>39492.980000000003</v>
      </c>
      <c r="J716">
        <v>4</v>
      </c>
      <c r="K716">
        <v>2</v>
      </c>
      <c r="L716" t="s">
        <v>30</v>
      </c>
      <c r="M716" t="s">
        <v>611</v>
      </c>
      <c r="N716" t="s">
        <v>612</v>
      </c>
    </row>
    <row r="717" spans="1:14" x14ac:dyDescent="0.25">
      <c r="A717" t="s">
        <v>62</v>
      </c>
      <c r="B717" t="s">
        <v>63</v>
      </c>
      <c r="C717" t="s">
        <v>51</v>
      </c>
      <c r="D717" s="13">
        <v>45562</v>
      </c>
      <c r="E717" t="s">
        <v>306</v>
      </c>
      <c r="F717">
        <v>40874</v>
      </c>
      <c r="G717">
        <v>23012.47</v>
      </c>
      <c r="H717">
        <v>128058.67</v>
      </c>
      <c r="I717">
        <v>34299.9</v>
      </c>
      <c r="J717">
        <v>2</v>
      </c>
      <c r="K717">
        <v>1</v>
      </c>
      <c r="L717" t="s">
        <v>112</v>
      </c>
      <c r="M717" t="s">
        <v>611</v>
      </c>
      <c r="N717" t="s">
        <v>612</v>
      </c>
    </row>
    <row r="718" spans="1:14" x14ac:dyDescent="0.25">
      <c r="A718" t="s">
        <v>66</v>
      </c>
      <c r="B718" t="s">
        <v>67</v>
      </c>
      <c r="C718" t="s">
        <v>51</v>
      </c>
      <c r="D718" s="13">
        <v>45562</v>
      </c>
      <c r="E718" t="s">
        <v>306</v>
      </c>
      <c r="F718">
        <v>30341.55</v>
      </c>
      <c r="G718">
        <v>18549.63</v>
      </c>
      <c r="H718">
        <v>2625.62</v>
      </c>
      <c r="I718">
        <v>624.4</v>
      </c>
      <c r="J718">
        <v>6</v>
      </c>
      <c r="K718">
        <v>3</v>
      </c>
      <c r="L718" t="s">
        <v>30</v>
      </c>
      <c r="M718" t="s">
        <v>113</v>
      </c>
      <c r="N718" t="s">
        <v>613</v>
      </c>
    </row>
    <row r="719" spans="1:14" x14ac:dyDescent="0.25">
      <c r="A719" t="s">
        <v>68</v>
      </c>
      <c r="B719" t="s">
        <v>69</v>
      </c>
      <c r="C719" t="s">
        <v>51</v>
      </c>
      <c r="D719" s="13">
        <v>45562</v>
      </c>
      <c r="E719" t="s">
        <v>306</v>
      </c>
      <c r="F719">
        <v>52000.54</v>
      </c>
      <c r="G719">
        <v>23613.84</v>
      </c>
      <c r="H719">
        <v>212530.36</v>
      </c>
      <c r="I719">
        <v>55368.81</v>
      </c>
      <c r="J719">
        <v>3</v>
      </c>
      <c r="K719">
        <v>6</v>
      </c>
      <c r="L719" t="s">
        <v>30</v>
      </c>
      <c r="M719" t="s">
        <v>43</v>
      </c>
      <c r="N719" t="s">
        <v>612</v>
      </c>
    </row>
    <row r="720" spans="1:14" x14ac:dyDescent="0.25">
      <c r="A720" t="s">
        <v>74</v>
      </c>
      <c r="B720" t="s">
        <v>75</v>
      </c>
      <c r="C720" t="s">
        <v>51</v>
      </c>
      <c r="D720" s="13">
        <v>45562</v>
      </c>
      <c r="E720" t="s">
        <v>306</v>
      </c>
      <c r="F720">
        <v>39719</v>
      </c>
      <c r="G720">
        <v>23153.74</v>
      </c>
      <c r="H720">
        <v>164823.13</v>
      </c>
      <c r="I720">
        <v>45285.59</v>
      </c>
      <c r="J720">
        <v>4</v>
      </c>
      <c r="K720">
        <v>8</v>
      </c>
      <c r="L720" t="s">
        <v>30</v>
      </c>
      <c r="M720" t="s">
        <v>611</v>
      </c>
      <c r="N720" t="s">
        <v>612</v>
      </c>
    </row>
    <row r="721" spans="1:14" x14ac:dyDescent="0.25">
      <c r="A721" t="s">
        <v>82</v>
      </c>
      <c r="B721" t="s">
        <v>83</v>
      </c>
      <c r="C721" t="s">
        <v>137</v>
      </c>
      <c r="D721" s="13">
        <v>45562</v>
      </c>
      <c r="E721" t="s">
        <v>306</v>
      </c>
      <c r="F721">
        <v>40011.54</v>
      </c>
      <c r="G721">
        <v>16604.18</v>
      </c>
      <c r="H721">
        <v>130372</v>
      </c>
      <c r="I721">
        <v>30548.76</v>
      </c>
      <c r="J721">
        <v>5</v>
      </c>
      <c r="K721">
        <v>2</v>
      </c>
      <c r="L721" t="s">
        <v>30</v>
      </c>
      <c r="M721" t="s">
        <v>26</v>
      </c>
      <c r="N721" t="s">
        <v>612</v>
      </c>
    </row>
    <row r="722" spans="1:14" x14ac:dyDescent="0.25">
      <c r="A722" t="s">
        <v>84</v>
      </c>
      <c r="B722" t="s">
        <v>85</v>
      </c>
      <c r="C722" t="s">
        <v>137</v>
      </c>
      <c r="D722" s="13">
        <v>45562</v>
      </c>
      <c r="E722" t="s">
        <v>306</v>
      </c>
      <c r="F722">
        <v>11427.8</v>
      </c>
      <c r="G722">
        <v>7110.8</v>
      </c>
      <c r="H722">
        <v>42216</v>
      </c>
      <c r="I722">
        <v>8120</v>
      </c>
      <c r="J722">
        <v>4</v>
      </c>
      <c r="K722">
        <v>3</v>
      </c>
      <c r="L722" t="s">
        <v>30</v>
      </c>
      <c r="M722" t="s">
        <v>611</v>
      </c>
      <c r="N722" t="s">
        <v>612</v>
      </c>
    </row>
    <row r="723" spans="1:14" x14ac:dyDescent="0.25">
      <c r="A723" t="s">
        <v>90</v>
      </c>
      <c r="B723" t="s">
        <v>91</v>
      </c>
      <c r="C723" t="s">
        <v>137</v>
      </c>
      <c r="D723" s="13">
        <v>45562</v>
      </c>
      <c r="E723" t="s">
        <v>306</v>
      </c>
      <c r="F723">
        <v>33131.06</v>
      </c>
      <c r="G723">
        <v>18927.349999999999</v>
      </c>
      <c r="H723">
        <v>101440.77</v>
      </c>
      <c r="I723">
        <v>26525.97</v>
      </c>
      <c r="J723">
        <v>10</v>
      </c>
      <c r="K723">
        <v>15</v>
      </c>
      <c r="L723" t="s">
        <v>112</v>
      </c>
      <c r="M723" t="s">
        <v>26</v>
      </c>
      <c r="N723" t="s">
        <v>612</v>
      </c>
    </row>
    <row r="724" spans="1:14" x14ac:dyDescent="0.25">
      <c r="A724" t="s">
        <v>93</v>
      </c>
      <c r="B724" t="s">
        <v>94</v>
      </c>
      <c r="C724" t="s">
        <v>137</v>
      </c>
      <c r="D724" s="13">
        <v>45562</v>
      </c>
      <c r="E724" t="s">
        <v>306</v>
      </c>
      <c r="F724">
        <v>37215.54</v>
      </c>
      <c r="G724">
        <v>12375.25</v>
      </c>
      <c r="H724">
        <v>129627.98</v>
      </c>
      <c r="I724">
        <v>41112.54</v>
      </c>
      <c r="J724">
        <v>7</v>
      </c>
      <c r="K724">
        <v>6</v>
      </c>
      <c r="L724" t="s">
        <v>30</v>
      </c>
      <c r="M724" t="s">
        <v>611</v>
      </c>
      <c r="N724" t="s">
        <v>612</v>
      </c>
    </row>
    <row r="725" spans="1:14" x14ac:dyDescent="0.25">
      <c r="A725" t="s">
        <v>96</v>
      </c>
      <c r="B725" t="s">
        <v>97</v>
      </c>
      <c r="C725" t="s">
        <v>137</v>
      </c>
      <c r="D725" s="13">
        <v>45562</v>
      </c>
      <c r="E725" t="s">
        <v>306</v>
      </c>
      <c r="F725">
        <v>24340.53</v>
      </c>
      <c r="G725">
        <v>13747.47</v>
      </c>
      <c r="H725">
        <v>81362.8</v>
      </c>
      <c r="I725">
        <v>28134.32</v>
      </c>
      <c r="J725">
        <v>10</v>
      </c>
      <c r="K725">
        <v>9</v>
      </c>
      <c r="L725" t="s">
        <v>30</v>
      </c>
      <c r="M725" t="s">
        <v>611</v>
      </c>
      <c r="N725" t="s">
        <v>612</v>
      </c>
    </row>
    <row r="726" spans="1:14" x14ac:dyDescent="0.25">
      <c r="A726" t="s">
        <v>14</v>
      </c>
      <c r="B726" t="s">
        <v>15</v>
      </c>
      <c r="C726" t="s">
        <v>16</v>
      </c>
      <c r="D726" s="13">
        <v>45569</v>
      </c>
      <c r="E726" t="s">
        <v>414</v>
      </c>
      <c r="F726">
        <v>216127.7</v>
      </c>
      <c r="G726">
        <v>0</v>
      </c>
      <c r="H726">
        <v>721325.37</v>
      </c>
      <c r="I726">
        <v>163992.43</v>
      </c>
      <c r="J726">
        <v>5</v>
      </c>
      <c r="K726">
        <v>0</v>
      </c>
      <c r="L726" t="s">
        <v>30</v>
      </c>
      <c r="M726" t="s">
        <v>611</v>
      </c>
      <c r="N726" t="s">
        <v>612</v>
      </c>
    </row>
    <row r="727" spans="1:14" x14ac:dyDescent="0.25">
      <c r="A727" t="s">
        <v>21</v>
      </c>
      <c r="B727" t="s">
        <v>22</v>
      </c>
      <c r="C727" t="s">
        <v>16</v>
      </c>
      <c r="D727" s="13">
        <v>45569</v>
      </c>
      <c r="E727" t="s">
        <v>414</v>
      </c>
      <c r="F727">
        <v>74286.259999999995</v>
      </c>
      <c r="G727">
        <v>0</v>
      </c>
      <c r="H727">
        <v>223923.64</v>
      </c>
      <c r="I727">
        <v>71916.7</v>
      </c>
      <c r="J727">
        <v>2</v>
      </c>
      <c r="K727">
        <v>0</v>
      </c>
      <c r="L727" t="s">
        <v>112</v>
      </c>
      <c r="M727" t="s">
        <v>31</v>
      </c>
      <c r="N727" t="s">
        <v>612</v>
      </c>
    </row>
    <row r="728" spans="1:14" x14ac:dyDescent="0.25">
      <c r="A728" t="s">
        <v>27</v>
      </c>
      <c r="B728" t="s">
        <v>28</v>
      </c>
      <c r="C728" t="s">
        <v>16</v>
      </c>
      <c r="D728" s="13">
        <v>45569</v>
      </c>
      <c r="E728" t="s">
        <v>414</v>
      </c>
      <c r="F728">
        <v>115355</v>
      </c>
      <c r="G728">
        <v>0</v>
      </c>
      <c r="H728">
        <v>522879.55</v>
      </c>
      <c r="I728">
        <v>94408.73</v>
      </c>
      <c r="J728">
        <v>2</v>
      </c>
      <c r="K728">
        <v>0</v>
      </c>
      <c r="L728" t="s">
        <v>30</v>
      </c>
      <c r="M728" t="s">
        <v>611</v>
      </c>
      <c r="N728" t="s">
        <v>612</v>
      </c>
    </row>
    <row r="729" spans="1:14" x14ac:dyDescent="0.25">
      <c r="A729" t="s">
        <v>32</v>
      </c>
      <c r="B729" t="s">
        <v>33</v>
      </c>
      <c r="C729" t="s">
        <v>16</v>
      </c>
      <c r="D729" s="13">
        <v>45569</v>
      </c>
      <c r="E729" t="s">
        <v>414</v>
      </c>
      <c r="F729">
        <v>148538.34</v>
      </c>
      <c r="G729">
        <v>0</v>
      </c>
      <c r="H729">
        <v>533687.96</v>
      </c>
      <c r="I729">
        <v>108740.87</v>
      </c>
      <c r="J729">
        <v>1</v>
      </c>
      <c r="K729">
        <v>0</v>
      </c>
      <c r="L729" t="s">
        <v>30</v>
      </c>
      <c r="M729" t="s">
        <v>611</v>
      </c>
      <c r="N729" t="s">
        <v>612</v>
      </c>
    </row>
    <row r="730" spans="1:14" x14ac:dyDescent="0.25">
      <c r="A730" t="s">
        <v>39</v>
      </c>
      <c r="B730" t="s">
        <v>40</v>
      </c>
      <c r="C730" t="s">
        <v>16</v>
      </c>
      <c r="D730" s="13">
        <v>45569</v>
      </c>
      <c r="E730" t="s">
        <v>414</v>
      </c>
      <c r="F730">
        <v>204783.62</v>
      </c>
      <c r="G730">
        <v>0</v>
      </c>
      <c r="H730">
        <v>517004.96</v>
      </c>
      <c r="I730">
        <v>147936.42000000001</v>
      </c>
      <c r="J730">
        <v>3</v>
      </c>
      <c r="K730">
        <v>0</v>
      </c>
      <c r="L730" t="s">
        <v>30</v>
      </c>
      <c r="M730" t="s">
        <v>113</v>
      </c>
      <c r="N730" t="s">
        <v>612</v>
      </c>
    </row>
    <row r="731" spans="1:14" x14ac:dyDescent="0.25">
      <c r="A731" t="s">
        <v>44</v>
      </c>
      <c r="B731" t="s">
        <v>45</v>
      </c>
      <c r="C731" t="s">
        <v>16</v>
      </c>
      <c r="D731" s="13">
        <v>45569</v>
      </c>
      <c r="E731" t="s">
        <v>414</v>
      </c>
      <c r="F731">
        <v>124340.49</v>
      </c>
      <c r="G731">
        <v>0</v>
      </c>
      <c r="H731">
        <v>561307.27</v>
      </c>
      <c r="I731">
        <v>120419.5</v>
      </c>
      <c r="J731">
        <v>5</v>
      </c>
      <c r="K731">
        <v>0</v>
      </c>
      <c r="L731" t="s">
        <v>30</v>
      </c>
      <c r="M731" t="s">
        <v>125</v>
      </c>
      <c r="N731" t="s">
        <v>612</v>
      </c>
    </row>
    <row r="732" spans="1:14" x14ac:dyDescent="0.25">
      <c r="A732" t="s">
        <v>49</v>
      </c>
      <c r="B732" t="s">
        <v>50</v>
      </c>
      <c r="C732" t="s">
        <v>51</v>
      </c>
      <c r="D732" s="13">
        <v>45569</v>
      </c>
      <c r="E732" t="s">
        <v>414</v>
      </c>
      <c r="F732">
        <v>34275.69</v>
      </c>
      <c r="G732">
        <v>0</v>
      </c>
      <c r="H732">
        <v>159458.66</v>
      </c>
      <c r="I732">
        <v>40797.19</v>
      </c>
      <c r="J732">
        <v>2</v>
      </c>
      <c r="K732">
        <v>0</v>
      </c>
      <c r="L732" t="s">
        <v>30</v>
      </c>
      <c r="M732" t="s">
        <v>31</v>
      </c>
      <c r="N732" t="s">
        <v>612</v>
      </c>
    </row>
    <row r="733" spans="1:14" x14ac:dyDescent="0.25">
      <c r="A733" t="s">
        <v>55</v>
      </c>
      <c r="B733" t="s">
        <v>56</v>
      </c>
      <c r="C733" t="s">
        <v>51</v>
      </c>
      <c r="D733" s="13">
        <v>45569</v>
      </c>
      <c r="E733" t="s">
        <v>414</v>
      </c>
      <c r="F733">
        <v>70398.67</v>
      </c>
      <c r="G733">
        <v>0</v>
      </c>
      <c r="H733">
        <v>330019.59000000003</v>
      </c>
      <c r="I733">
        <v>60565.75</v>
      </c>
      <c r="J733">
        <v>5</v>
      </c>
      <c r="K733">
        <v>0</v>
      </c>
      <c r="L733" t="s">
        <v>30</v>
      </c>
      <c r="M733" t="s">
        <v>611</v>
      </c>
      <c r="N733" t="s">
        <v>612</v>
      </c>
    </row>
    <row r="734" spans="1:14" x14ac:dyDescent="0.25">
      <c r="A734" t="s">
        <v>59</v>
      </c>
      <c r="B734" t="s">
        <v>60</v>
      </c>
      <c r="C734" t="s">
        <v>51</v>
      </c>
      <c r="D734" s="13">
        <v>45569</v>
      </c>
      <c r="E734" t="s">
        <v>414</v>
      </c>
      <c r="F734">
        <v>64723.81</v>
      </c>
      <c r="G734">
        <v>0</v>
      </c>
      <c r="H734">
        <v>199170.6</v>
      </c>
      <c r="I734">
        <v>51754.720000000001</v>
      </c>
      <c r="J734">
        <v>1</v>
      </c>
      <c r="K734">
        <v>0</v>
      </c>
      <c r="L734" t="s">
        <v>30</v>
      </c>
      <c r="M734" t="s">
        <v>611</v>
      </c>
      <c r="N734" t="s">
        <v>612</v>
      </c>
    </row>
    <row r="735" spans="1:14" x14ac:dyDescent="0.25">
      <c r="A735" t="s">
        <v>62</v>
      </c>
      <c r="B735" t="s">
        <v>63</v>
      </c>
      <c r="C735" t="s">
        <v>51</v>
      </c>
      <c r="D735" s="13">
        <v>45569</v>
      </c>
      <c r="E735" t="s">
        <v>414</v>
      </c>
      <c r="F735">
        <v>84551.28</v>
      </c>
      <c r="G735">
        <v>0</v>
      </c>
      <c r="H735">
        <v>265263.95</v>
      </c>
      <c r="I735">
        <v>64279.05</v>
      </c>
      <c r="J735">
        <v>3</v>
      </c>
      <c r="K735">
        <v>0</v>
      </c>
      <c r="L735" t="s">
        <v>30</v>
      </c>
      <c r="M735" t="s">
        <v>611</v>
      </c>
      <c r="N735" t="s">
        <v>612</v>
      </c>
    </row>
    <row r="736" spans="1:14" x14ac:dyDescent="0.25">
      <c r="A736" t="s">
        <v>66</v>
      </c>
      <c r="B736" t="s">
        <v>67</v>
      </c>
      <c r="C736" t="s">
        <v>51</v>
      </c>
      <c r="D736" s="13">
        <v>45569</v>
      </c>
      <c r="E736" t="s">
        <v>414</v>
      </c>
      <c r="F736">
        <v>33003.9</v>
      </c>
      <c r="G736">
        <v>0</v>
      </c>
      <c r="H736">
        <v>159409.69</v>
      </c>
      <c r="I736">
        <v>36638.080000000002</v>
      </c>
      <c r="J736">
        <v>4</v>
      </c>
      <c r="K736">
        <v>0</v>
      </c>
      <c r="L736" t="s">
        <v>30</v>
      </c>
      <c r="M736" t="s">
        <v>125</v>
      </c>
      <c r="N736" t="s">
        <v>612</v>
      </c>
    </row>
    <row r="737" spans="1:14" x14ac:dyDescent="0.25">
      <c r="A737" t="s">
        <v>68</v>
      </c>
      <c r="B737" t="s">
        <v>69</v>
      </c>
      <c r="C737" t="s">
        <v>51</v>
      </c>
      <c r="D737" s="13">
        <v>45569</v>
      </c>
      <c r="E737" t="s">
        <v>414</v>
      </c>
      <c r="F737">
        <v>58214.9</v>
      </c>
      <c r="G737">
        <v>0</v>
      </c>
      <c r="H737">
        <v>14103.63</v>
      </c>
      <c r="I737">
        <v>3983.54</v>
      </c>
      <c r="J737">
        <v>1</v>
      </c>
      <c r="K737">
        <v>0</v>
      </c>
      <c r="L737" t="s">
        <v>30</v>
      </c>
      <c r="M737" t="s">
        <v>125</v>
      </c>
      <c r="N737" t="s">
        <v>613</v>
      </c>
    </row>
    <row r="738" spans="1:14" x14ac:dyDescent="0.25">
      <c r="A738" t="s">
        <v>74</v>
      </c>
      <c r="B738" t="s">
        <v>75</v>
      </c>
      <c r="C738" t="s">
        <v>51</v>
      </c>
      <c r="D738" s="13">
        <v>45569</v>
      </c>
      <c r="E738" t="s">
        <v>414</v>
      </c>
      <c r="F738">
        <v>30524.79</v>
      </c>
      <c r="G738">
        <v>0</v>
      </c>
      <c r="H738">
        <v>134793.63</v>
      </c>
      <c r="I738">
        <v>24737.599999999999</v>
      </c>
      <c r="J738">
        <v>5</v>
      </c>
      <c r="K738">
        <v>0</v>
      </c>
      <c r="L738" t="s">
        <v>112</v>
      </c>
      <c r="M738" t="s">
        <v>31</v>
      </c>
      <c r="N738" t="s">
        <v>612</v>
      </c>
    </row>
    <row r="739" spans="1:14" x14ac:dyDescent="0.25">
      <c r="A739" t="s">
        <v>78</v>
      </c>
      <c r="B739" t="s">
        <v>79</v>
      </c>
      <c r="C739" t="s">
        <v>137</v>
      </c>
      <c r="D739" s="13">
        <v>45569</v>
      </c>
      <c r="E739" t="s">
        <v>414</v>
      </c>
      <c r="F739">
        <v>20283.490000000002</v>
      </c>
      <c r="G739">
        <v>0</v>
      </c>
      <c r="H739">
        <v>86885.84</v>
      </c>
      <c r="I739">
        <v>24590.59</v>
      </c>
      <c r="J739">
        <v>2</v>
      </c>
      <c r="K739">
        <v>0</v>
      </c>
      <c r="L739" t="s">
        <v>30</v>
      </c>
      <c r="M739" t="s">
        <v>611</v>
      </c>
      <c r="N739" t="s">
        <v>612</v>
      </c>
    </row>
    <row r="740" spans="1:14" x14ac:dyDescent="0.25">
      <c r="A740" t="s">
        <v>82</v>
      </c>
      <c r="B740" t="s">
        <v>83</v>
      </c>
      <c r="C740" t="s">
        <v>137</v>
      </c>
      <c r="D740" s="13">
        <v>45569</v>
      </c>
      <c r="E740" t="s">
        <v>414</v>
      </c>
      <c r="F740">
        <v>27848</v>
      </c>
      <c r="G740">
        <v>0</v>
      </c>
      <c r="H740">
        <v>109826.73</v>
      </c>
      <c r="I740">
        <v>27334.09</v>
      </c>
      <c r="J740">
        <v>6</v>
      </c>
      <c r="K740">
        <v>0</v>
      </c>
      <c r="L740" t="s">
        <v>30</v>
      </c>
      <c r="M740" t="s">
        <v>127</v>
      </c>
      <c r="N740" t="s">
        <v>612</v>
      </c>
    </row>
    <row r="741" spans="1:14" x14ac:dyDescent="0.25">
      <c r="A741" t="s">
        <v>84</v>
      </c>
      <c r="B741" t="s">
        <v>85</v>
      </c>
      <c r="C741" t="s">
        <v>137</v>
      </c>
      <c r="D741" s="13">
        <v>45569</v>
      </c>
      <c r="E741" t="s">
        <v>414</v>
      </c>
      <c r="F741">
        <v>19135.150000000001</v>
      </c>
      <c r="G741">
        <v>0</v>
      </c>
      <c r="H741">
        <v>65711</v>
      </c>
      <c r="I741">
        <v>14047.71</v>
      </c>
      <c r="J741">
        <v>2</v>
      </c>
      <c r="K741">
        <v>0</v>
      </c>
      <c r="L741" t="s">
        <v>30</v>
      </c>
      <c r="M741" t="s">
        <v>31</v>
      </c>
      <c r="N741" t="s">
        <v>612</v>
      </c>
    </row>
    <row r="742" spans="1:14" x14ac:dyDescent="0.25">
      <c r="A742" t="s">
        <v>87</v>
      </c>
      <c r="B742" t="s">
        <v>88</v>
      </c>
      <c r="C742" t="s">
        <v>137</v>
      </c>
      <c r="D742" s="13">
        <v>45569</v>
      </c>
      <c r="E742" t="s">
        <v>414</v>
      </c>
      <c r="F742">
        <v>20591.419999999998</v>
      </c>
      <c r="G742">
        <v>0</v>
      </c>
      <c r="H742">
        <v>96902.39</v>
      </c>
      <c r="I742">
        <v>24292.07</v>
      </c>
      <c r="J742">
        <v>2</v>
      </c>
      <c r="K742">
        <v>0</v>
      </c>
      <c r="L742" t="s">
        <v>30</v>
      </c>
      <c r="M742" t="s">
        <v>26</v>
      </c>
      <c r="N742" t="s">
        <v>612</v>
      </c>
    </row>
    <row r="743" spans="1:14" x14ac:dyDescent="0.25">
      <c r="A743" t="s">
        <v>90</v>
      </c>
      <c r="B743" t="s">
        <v>91</v>
      </c>
      <c r="C743" t="s">
        <v>137</v>
      </c>
      <c r="D743" s="13">
        <v>45569</v>
      </c>
      <c r="E743" t="s">
        <v>414</v>
      </c>
      <c r="F743">
        <v>17578</v>
      </c>
      <c r="G743">
        <v>0</v>
      </c>
      <c r="H743">
        <v>64914.87</v>
      </c>
      <c r="I743">
        <v>21270.46</v>
      </c>
      <c r="J743">
        <v>9</v>
      </c>
      <c r="K743">
        <v>0</v>
      </c>
      <c r="L743" t="s">
        <v>30</v>
      </c>
      <c r="M743" t="s">
        <v>115</v>
      </c>
      <c r="N743" t="s">
        <v>612</v>
      </c>
    </row>
    <row r="744" spans="1:14" x14ac:dyDescent="0.25">
      <c r="A744" t="s">
        <v>96</v>
      </c>
      <c r="B744" t="s">
        <v>97</v>
      </c>
      <c r="C744" t="s">
        <v>137</v>
      </c>
      <c r="D744" s="13">
        <v>45569</v>
      </c>
      <c r="E744" t="s">
        <v>414</v>
      </c>
      <c r="F744">
        <v>22069.46</v>
      </c>
      <c r="G744">
        <v>0</v>
      </c>
      <c r="H744">
        <v>77431.360000000001</v>
      </c>
      <c r="I744">
        <v>19996.61</v>
      </c>
      <c r="J744">
        <v>11</v>
      </c>
      <c r="K744">
        <v>0</v>
      </c>
      <c r="L744" t="s">
        <v>30</v>
      </c>
      <c r="M744" t="s">
        <v>611</v>
      </c>
      <c r="N744" t="s">
        <v>612</v>
      </c>
    </row>
    <row r="745" spans="1:14" x14ac:dyDescent="0.25">
      <c r="A745" t="s">
        <v>14</v>
      </c>
      <c r="B745" t="s">
        <v>15</v>
      </c>
      <c r="C745" t="s">
        <v>16</v>
      </c>
      <c r="D745" s="13">
        <v>45576</v>
      </c>
      <c r="E745" t="s">
        <v>414</v>
      </c>
      <c r="F745">
        <v>219810.23</v>
      </c>
      <c r="G745">
        <v>0</v>
      </c>
      <c r="H745">
        <v>1002726.46</v>
      </c>
      <c r="I745">
        <v>302247.93</v>
      </c>
      <c r="J745">
        <v>6</v>
      </c>
      <c r="K745">
        <v>0</v>
      </c>
      <c r="L745" t="s">
        <v>30</v>
      </c>
      <c r="M745" t="s">
        <v>113</v>
      </c>
      <c r="N745" t="s">
        <v>612</v>
      </c>
    </row>
    <row r="746" spans="1:14" x14ac:dyDescent="0.25">
      <c r="A746" t="s">
        <v>21</v>
      </c>
      <c r="B746" t="s">
        <v>22</v>
      </c>
      <c r="C746" t="s">
        <v>16</v>
      </c>
      <c r="D746" s="13">
        <v>45576</v>
      </c>
      <c r="E746" t="s">
        <v>414</v>
      </c>
      <c r="F746">
        <v>81305.5</v>
      </c>
      <c r="G746">
        <v>0</v>
      </c>
      <c r="H746">
        <v>234087.97</v>
      </c>
      <c r="I746">
        <v>52289.43</v>
      </c>
      <c r="J746">
        <v>2</v>
      </c>
      <c r="K746">
        <v>0</v>
      </c>
      <c r="L746" t="s">
        <v>30</v>
      </c>
      <c r="M746" t="s">
        <v>611</v>
      </c>
      <c r="N746" t="s">
        <v>612</v>
      </c>
    </row>
    <row r="747" spans="1:14" x14ac:dyDescent="0.25">
      <c r="A747" t="s">
        <v>27</v>
      </c>
      <c r="B747" t="s">
        <v>28</v>
      </c>
      <c r="C747" t="s">
        <v>16</v>
      </c>
      <c r="D747" s="13">
        <v>45576</v>
      </c>
      <c r="E747" t="s">
        <v>414</v>
      </c>
      <c r="F747">
        <v>173718.39999999999</v>
      </c>
      <c r="G747">
        <v>0</v>
      </c>
      <c r="H747">
        <v>583145.37</v>
      </c>
      <c r="I747">
        <v>141855.82</v>
      </c>
      <c r="J747">
        <v>4</v>
      </c>
      <c r="K747">
        <v>0</v>
      </c>
      <c r="L747" t="s">
        <v>112</v>
      </c>
      <c r="M747" t="s">
        <v>31</v>
      </c>
      <c r="N747" t="s">
        <v>612</v>
      </c>
    </row>
    <row r="748" spans="1:14" x14ac:dyDescent="0.25">
      <c r="A748" t="s">
        <v>32</v>
      </c>
      <c r="B748" t="s">
        <v>33</v>
      </c>
      <c r="C748" t="s">
        <v>16</v>
      </c>
      <c r="D748" s="13">
        <v>45576</v>
      </c>
      <c r="E748" t="s">
        <v>414</v>
      </c>
      <c r="F748">
        <v>188961.46</v>
      </c>
      <c r="G748">
        <v>0</v>
      </c>
      <c r="H748">
        <v>857380.41</v>
      </c>
      <c r="I748">
        <v>194001.22</v>
      </c>
      <c r="J748">
        <v>5</v>
      </c>
      <c r="K748">
        <v>0</v>
      </c>
      <c r="L748" t="s">
        <v>30</v>
      </c>
      <c r="M748" t="s">
        <v>611</v>
      </c>
      <c r="N748" t="s">
        <v>612</v>
      </c>
    </row>
    <row r="749" spans="1:14" x14ac:dyDescent="0.25">
      <c r="A749" t="s">
        <v>39</v>
      </c>
      <c r="B749" t="s">
        <v>40</v>
      </c>
      <c r="C749" t="s">
        <v>16</v>
      </c>
      <c r="D749" s="13">
        <v>45576</v>
      </c>
      <c r="E749" t="s">
        <v>414</v>
      </c>
      <c r="F749">
        <v>209647.23</v>
      </c>
      <c r="G749">
        <v>0</v>
      </c>
      <c r="H749">
        <v>789239.87</v>
      </c>
      <c r="I749">
        <v>195711.46</v>
      </c>
      <c r="J749">
        <v>5</v>
      </c>
      <c r="K749">
        <v>0</v>
      </c>
      <c r="L749" t="s">
        <v>30</v>
      </c>
      <c r="M749" t="s">
        <v>611</v>
      </c>
      <c r="N749" t="s">
        <v>612</v>
      </c>
    </row>
    <row r="750" spans="1:14" x14ac:dyDescent="0.25">
      <c r="A750" t="s">
        <v>44</v>
      </c>
      <c r="B750" t="s">
        <v>45</v>
      </c>
      <c r="C750" t="s">
        <v>16</v>
      </c>
      <c r="D750" s="13">
        <v>45576</v>
      </c>
      <c r="E750" t="s">
        <v>414</v>
      </c>
      <c r="F750">
        <v>140503.48000000001</v>
      </c>
      <c r="G750">
        <v>0</v>
      </c>
      <c r="H750">
        <v>694915.67</v>
      </c>
      <c r="I750">
        <v>168839.92</v>
      </c>
      <c r="J750">
        <v>3</v>
      </c>
      <c r="K750">
        <v>0</v>
      </c>
      <c r="L750" t="s">
        <v>30</v>
      </c>
      <c r="M750" t="s">
        <v>611</v>
      </c>
      <c r="N750" t="s">
        <v>612</v>
      </c>
    </row>
    <row r="751" spans="1:14" x14ac:dyDescent="0.25">
      <c r="A751" t="s">
        <v>49</v>
      </c>
      <c r="B751" t="s">
        <v>50</v>
      </c>
      <c r="C751" t="s">
        <v>51</v>
      </c>
      <c r="D751" s="13">
        <v>45576</v>
      </c>
      <c r="E751" t="s">
        <v>414</v>
      </c>
      <c r="F751">
        <v>41656.78</v>
      </c>
      <c r="G751">
        <v>0</v>
      </c>
      <c r="H751">
        <v>105026.1</v>
      </c>
      <c r="I751">
        <v>27700.66</v>
      </c>
      <c r="J751">
        <v>1</v>
      </c>
      <c r="K751">
        <v>0</v>
      </c>
      <c r="L751" t="s">
        <v>112</v>
      </c>
      <c r="M751" t="s">
        <v>611</v>
      </c>
      <c r="N751" t="s">
        <v>612</v>
      </c>
    </row>
    <row r="752" spans="1:14" x14ac:dyDescent="0.25">
      <c r="A752" t="s">
        <v>55</v>
      </c>
      <c r="B752" t="s">
        <v>56</v>
      </c>
      <c r="C752" t="s">
        <v>51</v>
      </c>
      <c r="D752" s="13">
        <v>45576</v>
      </c>
      <c r="E752" t="s">
        <v>414</v>
      </c>
      <c r="F752">
        <v>35251.21</v>
      </c>
      <c r="G752">
        <v>0</v>
      </c>
      <c r="H752">
        <v>115427.22</v>
      </c>
      <c r="I752">
        <v>40327.230000000003</v>
      </c>
      <c r="J752">
        <v>1</v>
      </c>
      <c r="K752">
        <v>0</v>
      </c>
      <c r="L752" t="s">
        <v>112</v>
      </c>
      <c r="M752" t="s">
        <v>611</v>
      </c>
      <c r="N752" t="s">
        <v>612</v>
      </c>
    </row>
    <row r="753" spans="1:14" x14ac:dyDescent="0.25">
      <c r="A753" t="s">
        <v>59</v>
      </c>
      <c r="B753" t="s">
        <v>60</v>
      </c>
      <c r="C753" t="s">
        <v>51</v>
      </c>
      <c r="D753" s="13">
        <v>45576</v>
      </c>
      <c r="E753" t="s">
        <v>414</v>
      </c>
      <c r="F753">
        <v>89880.24</v>
      </c>
      <c r="G753">
        <v>0</v>
      </c>
      <c r="H753">
        <v>260067.13</v>
      </c>
      <c r="I753">
        <v>69576.160000000003</v>
      </c>
      <c r="J753">
        <v>4</v>
      </c>
      <c r="K753">
        <v>0</v>
      </c>
      <c r="L753" t="s">
        <v>30</v>
      </c>
      <c r="M753" t="s">
        <v>611</v>
      </c>
      <c r="N753" t="s">
        <v>612</v>
      </c>
    </row>
    <row r="754" spans="1:14" x14ac:dyDescent="0.25">
      <c r="A754" t="s">
        <v>62</v>
      </c>
      <c r="B754" t="s">
        <v>63</v>
      </c>
      <c r="C754" t="s">
        <v>51</v>
      </c>
      <c r="D754" s="13">
        <v>45576</v>
      </c>
      <c r="E754" t="s">
        <v>414</v>
      </c>
      <c r="F754">
        <v>85829.83</v>
      </c>
      <c r="G754">
        <v>0</v>
      </c>
      <c r="H754">
        <v>396345.58</v>
      </c>
      <c r="I754">
        <v>85528.62</v>
      </c>
      <c r="J754">
        <v>4</v>
      </c>
      <c r="K754">
        <v>0</v>
      </c>
      <c r="L754" t="s">
        <v>30</v>
      </c>
      <c r="M754" t="s">
        <v>26</v>
      </c>
      <c r="N754" t="s">
        <v>612</v>
      </c>
    </row>
    <row r="755" spans="1:14" x14ac:dyDescent="0.25">
      <c r="A755" t="s">
        <v>66</v>
      </c>
      <c r="B755" t="s">
        <v>67</v>
      </c>
      <c r="C755" t="s">
        <v>51</v>
      </c>
      <c r="D755" s="13">
        <v>45576</v>
      </c>
      <c r="E755" t="s">
        <v>414</v>
      </c>
      <c r="F755">
        <v>49963.69</v>
      </c>
      <c r="G755">
        <v>0</v>
      </c>
      <c r="H755">
        <v>154794.26999999999</v>
      </c>
      <c r="I755">
        <v>38648.99</v>
      </c>
      <c r="J755">
        <v>6</v>
      </c>
      <c r="K755">
        <v>0</v>
      </c>
      <c r="L755" t="s">
        <v>30</v>
      </c>
      <c r="M755" t="s">
        <v>26</v>
      </c>
      <c r="N755" t="s">
        <v>612</v>
      </c>
    </row>
    <row r="756" spans="1:14" x14ac:dyDescent="0.25">
      <c r="A756" t="s">
        <v>74</v>
      </c>
      <c r="B756" t="s">
        <v>75</v>
      </c>
      <c r="C756" t="s">
        <v>51</v>
      </c>
      <c r="D756" s="13">
        <v>45576</v>
      </c>
      <c r="E756" t="s">
        <v>414</v>
      </c>
      <c r="F756">
        <v>78217.64</v>
      </c>
      <c r="G756">
        <v>0</v>
      </c>
      <c r="H756">
        <v>354427.37</v>
      </c>
      <c r="I756">
        <v>122034.28</v>
      </c>
      <c r="J756">
        <v>6</v>
      </c>
      <c r="K756">
        <v>0</v>
      </c>
      <c r="L756" t="s">
        <v>30</v>
      </c>
      <c r="M756" t="s">
        <v>113</v>
      </c>
      <c r="N756" t="s">
        <v>612</v>
      </c>
    </row>
    <row r="757" spans="1:14" x14ac:dyDescent="0.25">
      <c r="A757" t="s">
        <v>78</v>
      </c>
      <c r="B757" t="s">
        <v>79</v>
      </c>
      <c r="C757" t="s">
        <v>137</v>
      </c>
      <c r="D757" s="13">
        <v>45576</v>
      </c>
      <c r="E757" t="s">
        <v>414</v>
      </c>
      <c r="F757">
        <v>12432.84</v>
      </c>
      <c r="G757">
        <v>0</v>
      </c>
      <c r="H757">
        <v>33979.449999999997</v>
      </c>
      <c r="I757">
        <v>8048.87</v>
      </c>
      <c r="J757">
        <v>2</v>
      </c>
      <c r="K757">
        <v>0</v>
      </c>
      <c r="L757" t="s">
        <v>112</v>
      </c>
      <c r="M757" t="s">
        <v>611</v>
      </c>
      <c r="N757" t="s">
        <v>612</v>
      </c>
    </row>
    <row r="758" spans="1:14" x14ac:dyDescent="0.25">
      <c r="A758" t="s">
        <v>82</v>
      </c>
      <c r="B758" t="s">
        <v>83</v>
      </c>
      <c r="C758" t="s">
        <v>137</v>
      </c>
      <c r="D758" s="13">
        <v>45576</v>
      </c>
      <c r="E758" t="s">
        <v>414</v>
      </c>
      <c r="F758">
        <v>24365.63</v>
      </c>
      <c r="G758">
        <v>0</v>
      </c>
      <c r="H758">
        <v>91436.73</v>
      </c>
      <c r="I758">
        <v>21627.35</v>
      </c>
      <c r="J758">
        <v>12</v>
      </c>
      <c r="K758">
        <v>0</v>
      </c>
      <c r="L758" t="s">
        <v>30</v>
      </c>
      <c r="M758" t="s">
        <v>115</v>
      </c>
      <c r="N758" t="s">
        <v>612</v>
      </c>
    </row>
    <row r="759" spans="1:14" x14ac:dyDescent="0.25">
      <c r="A759" t="s">
        <v>84</v>
      </c>
      <c r="B759" t="s">
        <v>85</v>
      </c>
      <c r="C759" t="s">
        <v>137</v>
      </c>
      <c r="D759" s="13">
        <v>45576</v>
      </c>
      <c r="E759" t="s">
        <v>414</v>
      </c>
      <c r="F759">
        <v>27415.89</v>
      </c>
      <c r="G759">
        <v>0</v>
      </c>
      <c r="H759">
        <v>105468.42</v>
      </c>
      <c r="I759">
        <v>19782.43</v>
      </c>
      <c r="J759">
        <v>7</v>
      </c>
      <c r="K759">
        <v>0</v>
      </c>
      <c r="L759" t="s">
        <v>30</v>
      </c>
      <c r="M759" t="s">
        <v>611</v>
      </c>
      <c r="N759" t="s">
        <v>612</v>
      </c>
    </row>
    <row r="760" spans="1:14" x14ac:dyDescent="0.25">
      <c r="A760" t="s">
        <v>87</v>
      </c>
      <c r="B760" t="s">
        <v>88</v>
      </c>
      <c r="C760" t="s">
        <v>137</v>
      </c>
      <c r="D760" s="13">
        <v>45576</v>
      </c>
      <c r="E760" t="s">
        <v>414</v>
      </c>
      <c r="F760">
        <v>14018.29</v>
      </c>
      <c r="G760">
        <v>0</v>
      </c>
      <c r="H760">
        <v>66289.440000000002</v>
      </c>
      <c r="I760">
        <v>21136.07</v>
      </c>
      <c r="J760">
        <v>12</v>
      </c>
      <c r="K760">
        <v>0</v>
      </c>
      <c r="L760" t="s">
        <v>112</v>
      </c>
      <c r="M760" t="s">
        <v>611</v>
      </c>
      <c r="N760" t="s">
        <v>612</v>
      </c>
    </row>
    <row r="761" spans="1:14" x14ac:dyDescent="0.25">
      <c r="A761" t="s">
        <v>93</v>
      </c>
      <c r="B761" t="s">
        <v>94</v>
      </c>
      <c r="C761" t="s">
        <v>137</v>
      </c>
      <c r="D761" s="13">
        <v>45576</v>
      </c>
      <c r="E761" t="s">
        <v>414</v>
      </c>
      <c r="F761">
        <v>41265.74</v>
      </c>
      <c r="G761">
        <v>0</v>
      </c>
      <c r="H761">
        <v>104850.4</v>
      </c>
      <c r="I761">
        <v>31934.03</v>
      </c>
      <c r="J761">
        <v>12</v>
      </c>
      <c r="K761">
        <v>0</v>
      </c>
      <c r="L761" t="s">
        <v>30</v>
      </c>
      <c r="M761" t="s">
        <v>105</v>
      </c>
      <c r="N761" t="s">
        <v>612</v>
      </c>
    </row>
    <row r="762" spans="1:14" x14ac:dyDescent="0.25">
      <c r="A762" t="s">
        <v>96</v>
      </c>
      <c r="B762" t="s">
        <v>97</v>
      </c>
      <c r="C762" t="s">
        <v>137</v>
      </c>
      <c r="D762" s="13">
        <v>45576</v>
      </c>
      <c r="E762" t="s">
        <v>414</v>
      </c>
      <c r="F762">
        <v>18503.72</v>
      </c>
      <c r="G762">
        <v>0</v>
      </c>
      <c r="H762">
        <v>54458.13</v>
      </c>
      <c r="I762">
        <v>9934.0300000000007</v>
      </c>
      <c r="J762">
        <v>8</v>
      </c>
      <c r="K762">
        <v>0</v>
      </c>
      <c r="L762" t="s">
        <v>30</v>
      </c>
      <c r="M762" t="s">
        <v>611</v>
      </c>
      <c r="N762" t="s">
        <v>612</v>
      </c>
    </row>
    <row r="763" spans="1:14" x14ac:dyDescent="0.25">
      <c r="A763" t="s">
        <v>14</v>
      </c>
      <c r="B763" t="s">
        <v>15</v>
      </c>
      <c r="C763" t="s">
        <v>16</v>
      </c>
      <c r="D763" s="13">
        <v>45583</v>
      </c>
      <c r="E763" t="s">
        <v>414</v>
      </c>
      <c r="F763">
        <v>139702.91</v>
      </c>
      <c r="G763">
        <v>0</v>
      </c>
      <c r="H763">
        <v>475489.22</v>
      </c>
      <c r="I763">
        <v>108930.94</v>
      </c>
      <c r="J763">
        <v>5</v>
      </c>
      <c r="K763">
        <v>0</v>
      </c>
      <c r="L763" t="s">
        <v>30</v>
      </c>
      <c r="M763" t="s">
        <v>125</v>
      </c>
      <c r="N763" t="s">
        <v>612</v>
      </c>
    </row>
    <row r="764" spans="1:14" x14ac:dyDescent="0.25">
      <c r="A764" t="s">
        <v>21</v>
      </c>
      <c r="B764" t="s">
        <v>22</v>
      </c>
      <c r="C764" t="s">
        <v>16</v>
      </c>
      <c r="D764" s="13">
        <v>45583</v>
      </c>
      <c r="E764" t="s">
        <v>414</v>
      </c>
      <c r="F764">
        <v>103577.01</v>
      </c>
      <c r="G764">
        <v>0</v>
      </c>
      <c r="H764">
        <v>3794127</v>
      </c>
      <c r="I764">
        <v>111384.71</v>
      </c>
      <c r="J764">
        <v>3</v>
      </c>
      <c r="K764">
        <v>0</v>
      </c>
      <c r="L764" t="s">
        <v>30</v>
      </c>
      <c r="M764" t="s">
        <v>125</v>
      </c>
      <c r="N764" t="s">
        <v>612</v>
      </c>
    </row>
    <row r="765" spans="1:14" x14ac:dyDescent="0.25">
      <c r="A765" t="s">
        <v>27</v>
      </c>
      <c r="B765" t="s">
        <v>28</v>
      </c>
      <c r="C765" t="s">
        <v>16</v>
      </c>
      <c r="D765" s="13">
        <v>45583</v>
      </c>
      <c r="E765" t="s">
        <v>414</v>
      </c>
      <c r="F765">
        <v>102447.58</v>
      </c>
      <c r="G765">
        <v>0</v>
      </c>
      <c r="H765">
        <v>393093.71</v>
      </c>
      <c r="I765">
        <v>132551.74</v>
      </c>
      <c r="J765">
        <v>6</v>
      </c>
      <c r="K765">
        <v>0</v>
      </c>
      <c r="L765" t="s">
        <v>30</v>
      </c>
      <c r="M765" t="s">
        <v>611</v>
      </c>
      <c r="N765" t="s">
        <v>612</v>
      </c>
    </row>
    <row r="766" spans="1:14" x14ac:dyDescent="0.25">
      <c r="A766" t="s">
        <v>32</v>
      </c>
      <c r="B766" t="s">
        <v>33</v>
      </c>
      <c r="C766" t="s">
        <v>16</v>
      </c>
      <c r="D766" s="13">
        <v>45583</v>
      </c>
      <c r="E766" t="s">
        <v>414</v>
      </c>
      <c r="F766">
        <v>184682.81</v>
      </c>
      <c r="G766">
        <v>0</v>
      </c>
      <c r="H766">
        <v>9200192</v>
      </c>
      <c r="I766">
        <v>268414.93</v>
      </c>
      <c r="J766">
        <v>4</v>
      </c>
      <c r="K766">
        <v>0</v>
      </c>
      <c r="L766" t="s">
        <v>30</v>
      </c>
      <c r="M766" t="s">
        <v>611</v>
      </c>
      <c r="N766" t="s">
        <v>612</v>
      </c>
    </row>
    <row r="767" spans="1:14" x14ac:dyDescent="0.25">
      <c r="A767" t="s">
        <v>39</v>
      </c>
      <c r="B767" t="s">
        <v>40</v>
      </c>
      <c r="C767" t="s">
        <v>16</v>
      </c>
      <c r="D767" s="13">
        <v>45583</v>
      </c>
      <c r="E767" t="s">
        <v>414</v>
      </c>
      <c r="F767">
        <v>138174.72</v>
      </c>
      <c r="G767">
        <v>0</v>
      </c>
      <c r="H767">
        <v>680366.68</v>
      </c>
      <c r="I767">
        <v>132323.35999999999</v>
      </c>
      <c r="J767">
        <v>1</v>
      </c>
      <c r="K767">
        <v>0</v>
      </c>
      <c r="L767" t="s">
        <v>30</v>
      </c>
      <c r="M767" t="s">
        <v>115</v>
      </c>
      <c r="N767" t="s">
        <v>612</v>
      </c>
    </row>
    <row r="768" spans="1:14" x14ac:dyDescent="0.25">
      <c r="A768" t="s">
        <v>44</v>
      </c>
      <c r="B768" t="s">
        <v>45</v>
      </c>
      <c r="C768" t="s">
        <v>16</v>
      </c>
      <c r="D768" s="13">
        <v>45583</v>
      </c>
      <c r="E768" t="s">
        <v>414</v>
      </c>
      <c r="F768">
        <v>169331.24</v>
      </c>
      <c r="G768">
        <v>0</v>
      </c>
      <c r="H768">
        <v>650689.81000000006</v>
      </c>
      <c r="I768">
        <v>121431.47</v>
      </c>
      <c r="J768">
        <v>1</v>
      </c>
      <c r="K768">
        <v>0</v>
      </c>
      <c r="L768" t="s">
        <v>30</v>
      </c>
      <c r="M768" t="s">
        <v>611</v>
      </c>
      <c r="N768" t="s">
        <v>612</v>
      </c>
    </row>
    <row r="769" spans="1:14" x14ac:dyDescent="0.25">
      <c r="A769" t="s">
        <v>49</v>
      </c>
      <c r="B769" t="s">
        <v>50</v>
      </c>
      <c r="C769" t="s">
        <v>51</v>
      </c>
      <c r="D769" s="13">
        <v>45583</v>
      </c>
      <c r="E769" t="s">
        <v>414</v>
      </c>
      <c r="F769">
        <v>45480.73</v>
      </c>
      <c r="G769">
        <v>0</v>
      </c>
      <c r="H769">
        <v>146124.51</v>
      </c>
      <c r="I769">
        <v>28614.53</v>
      </c>
      <c r="J769">
        <v>2</v>
      </c>
      <c r="K769">
        <v>0</v>
      </c>
      <c r="L769" t="s">
        <v>112</v>
      </c>
      <c r="M769" t="s">
        <v>611</v>
      </c>
      <c r="N769" t="s">
        <v>612</v>
      </c>
    </row>
    <row r="770" spans="1:14" x14ac:dyDescent="0.25">
      <c r="A770" t="s">
        <v>55</v>
      </c>
      <c r="B770" t="s">
        <v>56</v>
      </c>
      <c r="C770" t="s">
        <v>51</v>
      </c>
      <c r="D770" s="13">
        <v>45583</v>
      </c>
      <c r="E770" t="s">
        <v>414</v>
      </c>
      <c r="F770">
        <v>78022.3</v>
      </c>
      <c r="G770">
        <v>0</v>
      </c>
      <c r="H770">
        <v>248991.56</v>
      </c>
      <c r="I770">
        <v>68108.009999999995</v>
      </c>
      <c r="J770">
        <v>5</v>
      </c>
      <c r="K770">
        <v>0</v>
      </c>
      <c r="L770" t="s">
        <v>112</v>
      </c>
      <c r="M770" t="s">
        <v>26</v>
      </c>
      <c r="N770" t="s">
        <v>612</v>
      </c>
    </row>
    <row r="771" spans="1:14" x14ac:dyDescent="0.25">
      <c r="A771" t="s">
        <v>59</v>
      </c>
      <c r="B771" t="s">
        <v>60</v>
      </c>
      <c r="C771" t="s">
        <v>51</v>
      </c>
      <c r="D771" s="13">
        <v>45583</v>
      </c>
      <c r="E771" t="s">
        <v>414</v>
      </c>
      <c r="F771">
        <v>60302.98</v>
      </c>
      <c r="G771">
        <v>0</v>
      </c>
      <c r="H771">
        <v>239448.7</v>
      </c>
      <c r="I771">
        <v>62516.73</v>
      </c>
      <c r="J771">
        <v>4</v>
      </c>
      <c r="K771">
        <v>0</v>
      </c>
      <c r="L771" t="s">
        <v>30</v>
      </c>
      <c r="M771" t="s">
        <v>125</v>
      </c>
      <c r="N771" t="s">
        <v>612</v>
      </c>
    </row>
    <row r="772" spans="1:14" x14ac:dyDescent="0.25">
      <c r="A772" t="s">
        <v>62</v>
      </c>
      <c r="B772" t="s">
        <v>63</v>
      </c>
      <c r="C772" t="s">
        <v>51</v>
      </c>
      <c r="D772" s="13">
        <v>45583</v>
      </c>
      <c r="E772" t="s">
        <v>414</v>
      </c>
      <c r="F772">
        <v>64140.91</v>
      </c>
      <c r="G772">
        <v>0</v>
      </c>
      <c r="H772">
        <v>6008.95</v>
      </c>
      <c r="I772">
        <v>1805.01</v>
      </c>
      <c r="J772">
        <v>2</v>
      </c>
      <c r="K772">
        <v>0</v>
      </c>
      <c r="L772" t="s">
        <v>30</v>
      </c>
      <c r="M772" t="s">
        <v>611</v>
      </c>
      <c r="N772" t="s">
        <v>613</v>
      </c>
    </row>
    <row r="773" spans="1:14" x14ac:dyDescent="0.25">
      <c r="A773" t="s">
        <v>66</v>
      </c>
      <c r="B773" t="s">
        <v>67</v>
      </c>
      <c r="C773" t="s">
        <v>51</v>
      </c>
      <c r="D773" s="13">
        <v>45583</v>
      </c>
      <c r="E773" t="s">
        <v>414</v>
      </c>
      <c r="F773">
        <v>33562.300000000003</v>
      </c>
      <c r="G773">
        <v>0</v>
      </c>
      <c r="H773">
        <v>139861.01</v>
      </c>
      <c r="I773">
        <v>37723.699999999997</v>
      </c>
      <c r="J773">
        <v>3</v>
      </c>
      <c r="K773">
        <v>0</v>
      </c>
      <c r="L773" t="s">
        <v>30</v>
      </c>
      <c r="M773" t="s">
        <v>611</v>
      </c>
      <c r="N773" t="s">
        <v>612</v>
      </c>
    </row>
    <row r="774" spans="1:14" x14ac:dyDescent="0.25">
      <c r="A774" t="s">
        <v>74</v>
      </c>
      <c r="B774" t="s">
        <v>75</v>
      </c>
      <c r="C774" t="s">
        <v>51</v>
      </c>
      <c r="D774" s="13">
        <v>45583</v>
      </c>
      <c r="E774" t="s">
        <v>414</v>
      </c>
      <c r="F774">
        <v>65444.24</v>
      </c>
      <c r="G774">
        <v>0</v>
      </c>
      <c r="H774">
        <v>276714.61</v>
      </c>
      <c r="I774">
        <v>88121.39</v>
      </c>
      <c r="J774">
        <v>5</v>
      </c>
      <c r="K774">
        <v>0</v>
      </c>
      <c r="L774" t="s">
        <v>30</v>
      </c>
      <c r="M774" t="s">
        <v>31</v>
      </c>
      <c r="N774" t="s">
        <v>612</v>
      </c>
    </row>
    <row r="775" spans="1:14" x14ac:dyDescent="0.25">
      <c r="A775" t="s">
        <v>78</v>
      </c>
      <c r="B775" t="s">
        <v>79</v>
      </c>
      <c r="C775" t="s">
        <v>137</v>
      </c>
      <c r="D775" s="13">
        <v>45583</v>
      </c>
      <c r="E775" t="s">
        <v>414</v>
      </c>
      <c r="F775">
        <v>23513.52</v>
      </c>
      <c r="G775">
        <v>0</v>
      </c>
      <c r="H775">
        <v>100945.68</v>
      </c>
      <c r="I775">
        <v>18406.349999999999</v>
      </c>
      <c r="J775">
        <v>3</v>
      </c>
      <c r="K775">
        <v>0</v>
      </c>
      <c r="L775" t="s">
        <v>30</v>
      </c>
      <c r="M775" t="s">
        <v>31</v>
      </c>
      <c r="N775" t="s">
        <v>612</v>
      </c>
    </row>
    <row r="776" spans="1:14" x14ac:dyDescent="0.25">
      <c r="A776" t="s">
        <v>82</v>
      </c>
      <c r="B776" t="s">
        <v>83</v>
      </c>
      <c r="C776" t="s">
        <v>137</v>
      </c>
      <c r="D776" s="13">
        <v>45583</v>
      </c>
      <c r="E776" t="s">
        <v>414</v>
      </c>
      <c r="F776">
        <v>17752.32</v>
      </c>
      <c r="G776">
        <v>0</v>
      </c>
      <c r="H776">
        <v>82989.919999999998</v>
      </c>
      <c r="I776">
        <v>24282.15</v>
      </c>
      <c r="J776">
        <v>9</v>
      </c>
      <c r="K776">
        <v>0</v>
      </c>
      <c r="L776" t="s">
        <v>30</v>
      </c>
      <c r="M776" t="s">
        <v>611</v>
      </c>
      <c r="N776" t="s">
        <v>612</v>
      </c>
    </row>
    <row r="777" spans="1:14" x14ac:dyDescent="0.25">
      <c r="A777" t="s">
        <v>84</v>
      </c>
      <c r="B777" t="s">
        <v>85</v>
      </c>
      <c r="C777" t="s">
        <v>137</v>
      </c>
      <c r="D777" s="13">
        <v>45583</v>
      </c>
      <c r="E777" t="s">
        <v>414</v>
      </c>
      <c r="F777">
        <v>13503.68</v>
      </c>
      <c r="G777">
        <v>0</v>
      </c>
      <c r="H777">
        <v>43455.17</v>
      </c>
      <c r="I777">
        <v>9129.94</v>
      </c>
      <c r="J777">
        <v>2</v>
      </c>
      <c r="K777">
        <v>0</v>
      </c>
      <c r="L777" t="s">
        <v>30</v>
      </c>
      <c r="M777" t="s">
        <v>611</v>
      </c>
      <c r="N777" t="s">
        <v>612</v>
      </c>
    </row>
    <row r="778" spans="1:14" x14ac:dyDescent="0.25">
      <c r="A778" t="s">
        <v>87</v>
      </c>
      <c r="B778" t="s">
        <v>88</v>
      </c>
      <c r="C778" t="s">
        <v>137</v>
      </c>
      <c r="D778" s="13">
        <v>45583</v>
      </c>
      <c r="E778" t="s">
        <v>414</v>
      </c>
      <c r="F778">
        <v>20969.46</v>
      </c>
      <c r="G778">
        <v>0</v>
      </c>
      <c r="H778">
        <v>59421.51</v>
      </c>
      <c r="I778">
        <v>17213.669999999998</v>
      </c>
      <c r="J778">
        <v>8</v>
      </c>
      <c r="K778">
        <v>0</v>
      </c>
      <c r="L778" t="s">
        <v>30</v>
      </c>
      <c r="M778" t="s">
        <v>611</v>
      </c>
      <c r="N778" t="s">
        <v>612</v>
      </c>
    </row>
    <row r="779" spans="1:14" x14ac:dyDescent="0.25">
      <c r="A779" t="s">
        <v>90</v>
      </c>
      <c r="B779" t="s">
        <v>91</v>
      </c>
      <c r="C779" t="s">
        <v>137</v>
      </c>
      <c r="D779" s="13">
        <v>45583</v>
      </c>
      <c r="E779" t="s">
        <v>414</v>
      </c>
      <c r="F779">
        <v>528152</v>
      </c>
      <c r="G779">
        <v>0</v>
      </c>
      <c r="H779">
        <v>110299.87</v>
      </c>
      <c r="I779">
        <v>24377.200000000001</v>
      </c>
      <c r="J779">
        <v>6</v>
      </c>
      <c r="K779">
        <v>0</v>
      </c>
      <c r="L779" t="s">
        <v>30</v>
      </c>
      <c r="M779" t="s">
        <v>611</v>
      </c>
      <c r="N779" t="s">
        <v>613</v>
      </c>
    </row>
    <row r="780" spans="1:14" x14ac:dyDescent="0.25">
      <c r="A780" t="s">
        <v>93</v>
      </c>
      <c r="B780" t="s">
        <v>94</v>
      </c>
      <c r="C780" t="s">
        <v>137</v>
      </c>
      <c r="D780" s="13">
        <v>45583</v>
      </c>
      <c r="E780" t="s">
        <v>414</v>
      </c>
      <c r="F780">
        <v>28821.360000000001</v>
      </c>
      <c r="G780">
        <v>0</v>
      </c>
      <c r="H780">
        <v>102665.2</v>
      </c>
      <c r="I780">
        <v>23225.95</v>
      </c>
      <c r="J780">
        <v>5</v>
      </c>
      <c r="K780">
        <v>0</v>
      </c>
      <c r="L780" t="s">
        <v>30</v>
      </c>
      <c r="M780" t="s">
        <v>611</v>
      </c>
      <c r="N780" t="s">
        <v>612</v>
      </c>
    </row>
    <row r="781" spans="1:14" x14ac:dyDescent="0.25">
      <c r="A781" t="s">
        <v>96</v>
      </c>
      <c r="B781" t="s">
        <v>97</v>
      </c>
      <c r="C781" t="s">
        <v>137</v>
      </c>
      <c r="D781" s="13">
        <v>45583</v>
      </c>
      <c r="E781" t="s">
        <v>414</v>
      </c>
      <c r="F781">
        <v>14511.51</v>
      </c>
      <c r="G781">
        <v>0</v>
      </c>
      <c r="H781">
        <v>44535.02</v>
      </c>
      <c r="I781">
        <v>8140.71</v>
      </c>
      <c r="J781">
        <v>3</v>
      </c>
      <c r="K781">
        <v>0</v>
      </c>
      <c r="L781" t="s">
        <v>30</v>
      </c>
      <c r="M781" t="s">
        <v>611</v>
      </c>
      <c r="N781" t="s">
        <v>612</v>
      </c>
    </row>
    <row r="782" spans="1:14" x14ac:dyDescent="0.25">
      <c r="A782" t="s">
        <v>14</v>
      </c>
      <c r="B782" t="s">
        <v>15</v>
      </c>
      <c r="C782" t="s">
        <v>16</v>
      </c>
      <c r="D782" s="13">
        <v>45590</v>
      </c>
      <c r="E782" t="s">
        <v>414</v>
      </c>
      <c r="F782">
        <v>110902.5</v>
      </c>
      <c r="G782">
        <v>0</v>
      </c>
      <c r="H782">
        <v>5804.59</v>
      </c>
      <c r="I782">
        <v>1624.56</v>
      </c>
      <c r="J782">
        <v>1</v>
      </c>
      <c r="K782">
        <v>0</v>
      </c>
      <c r="L782" t="s">
        <v>112</v>
      </c>
      <c r="M782" t="s">
        <v>611</v>
      </c>
      <c r="N782" t="s">
        <v>613</v>
      </c>
    </row>
    <row r="783" spans="1:14" x14ac:dyDescent="0.25">
      <c r="A783" t="s">
        <v>21</v>
      </c>
      <c r="B783" t="s">
        <v>22</v>
      </c>
      <c r="C783" t="s">
        <v>16</v>
      </c>
      <c r="D783" s="13">
        <v>45590</v>
      </c>
      <c r="E783" t="s">
        <v>414</v>
      </c>
      <c r="F783">
        <v>133717.59</v>
      </c>
      <c r="G783">
        <v>0</v>
      </c>
      <c r="H783">
        <v>515172.12</v>
      </c>
      <c r="I783">
        <v>153674.66</v>
      </c>
      <c r="J783">
        <v>1</v>
      </c>
      <c r="K783">
        <v>0</v>
      </c>
      <c r="L783" t="s">
        <v>112</v>
      </c>
      <c r="M783" t="s">
        <v>611</v>
      </c>
      <c r="N783" t="s">
        <v>612</v>
      </c>
    </row>
    <row r="784" spans="1:14" x14ac:dyDescent="0.25">
      <c r="A784" t="s">
        <v>27</v>
      </c>
      <c r="B784" t="s">
        <v>28</v>
      </c>
      <c r="C784" t="s">
        <v>16</v>
      </c>
      <c r="D784" s="13">
        <v>45590</v>
      </c>
      <c r="E784" t="s">
        <v>414</v>
      </c>
      <c r="F784">
        <v>185465.83</v>
      </c>
      <c r="G784">
        <v>0</v>
      </c>
      <c r="H784">
        <v>539842.06000000006</v>
      </c>
      <c r="I784">
        <v>187173.95</v>
      </c>
      <c r="J784">
        <v>5</v>
      </c>
      <c r="K784">
        <v>0</v>
      </c>
      <c r="L784" t="s">
        <v>30</v>
      </c>
      <c r="M784" t="s">
        <v>73</v>
      </c>
      <c r="N784" t="s">
        <v>612</v>
      </c>
    </row>
    <row r="785" spans="1:14" x14ac:dyDescent="0.25">
      <c r="A785" t="s">
        <v>32</v>
      </c>
      <c r="B785" t="s">
        <v>33</v>
      </c>
      <c r="C785" t="s">
        <v>16</v>
      </c>
      <c r="D785" s="13">
        <v>45590</v>
      </c>
      <c r="E785" t="s">
        <v>414</v>
      </c>
      <c r="F785">
        <v>172632.58</v>
      </c>
      <c r="G785">
        <v>0</v>
      </c>
      <c r="H785">
        <v>4809635</v>
      </c>
      <c r="I785">
        <v>164067.60999999999</v>
      </c>
      <c r="J785">
        <v>2</v>
      </c>
      <c r="K785">
        <v>0</v>
      </c>
      <c r="L785" t="s">
        <v>30</v>
      </c>
      <c r="M785" t="s">
        <v>125</v>
      </c>
      <c r="N785" t="s">
        <v>612</v>
      </c>
    </row>
    <row r="786" spans="1:14" x14ac:dyDescent="0.25">
      <c r="A786" t="s">
        <v>39</v>
      </c>
      <c r="B786" t="s">
        <v>40</v>
      </c>
      <c r="C786" t="s">
        <v>16</v>
      </c>
      <c r="D786" s="13">
        <v>45590</v>
      </c>
      <c r="E786" t="s">
        <v>414</v>
      </c>
      <c r="F786">
        <v>205006.05</v>
      </c>
      <c r="G786">
        <v>0</v>
      </c>
      <c r="H786">
        <v>904290.71</v>
      </c>
      <c r="I786">
        <v>186406.64</v>
      </c>
      <c r="J786">
        <v>1</v>
      </c>
      <c r="K786">
        <v>0</v>
      </c>
      <c r="L786" t="s">
        <v>30</v>
      </c>
      <c r="M786" t="s">
        <v>611</v>
      </c>
      <c r="N786" t="s">
        <v>612</v>
      </c>
    </row>
    <row r="787" spans="1:14" x14ac:dyDescent="0.25">
      <c r="A787" t="s">
        <v>44</v>
      </c>
      <c r="B787" t="s">
        <v>45</v>
      </c>
      <c r="C787" t="s">
        <v>16</v>
      </c>
      <c r="D787" s="13">
        <v>45590</v>
      </c>
      <c r="E787" t="s">
        <v>414</v>
      </c>
      <c r="F787">
        <v>197136.6</v>
      </c>
      <c r="G787">
        <v>0</v>
      </c>
      <c r="H787">
        <v>648446.46</v>
      </c>
      <c r="I787">
        <v>218822.3</v>
      </c>
      <c r="J787">
        <v>1</v>
      </c>
      <c r="K787">
        <v>0</v>
      </c>
      <c r="L787" t="s">
        <v>30</v>
      </c>
      <c r="M787" t="s">
        <v>611</v>
      </c>
      <c r="N787" t="s">
        <v>612</v>
      </c>
    </row>
    <row r="788" spans="1:14" x14ac:dyDescent="0.25">
      <c r="A788" t="s">
        <v>49</v>
      </c>
      <c r="B788" t="s">
        <v>50</v>
      </c>
      <c r="C788" t="s">
        <v>51</v>
      </c>
      <c r="D788" s="13">
        <v>45590</v>
      </c>
      <c r="E788" t="s">
        <v>414</v>
      </c>
      <c r="F788">
        <v>26086.49</v>
      </c>
      <c r="G788">
        <v>0</v>
      </c>
      <c r="H788">
        <v>113320.51</v>
      </c>
      <c r="I788">
        <v>30375.82</v>
      </c>
      <c r="J788">
        <v>5</v>
      </c>
      <c r="K788">
        <v>0</v>
      </c>
      <c r="L788" t="s">
        <v>30</v>
      </c>
      <c r="M788" t="s">
        <v>611</v>
      </c>
      <c r="N788" t="s">
        <v>612</v>
      </c>
    </row>
    <row r="789" spans="1:14" x14ac:dyDescent="0.25">
      <c r="A789" t="s">
        <v>55</v>
      </c>
      <c r="B789" t="s">
        <v>56</v>
      </c>
      <c r="C789" t="s">
        <v>51</v>
      </c>
      <c r="D789" s="13">
        <v>45590</v>
      </c>
      <c r="E789" t="s">
        <v>414</v>
      </c>
      <c r="F789">
        <v>45579.49</v>
      </c>
      <c r="G789">
        <v>0</v>
      </c>
      <c r="H789">
        <v>129466.27</v>
      </c>
      <c r="I789">
        <v>32717.75</v>
      </c>
      <c r="J789">
        <v>2</v>
      </c>
      <c r="K789">
        <v>0</v>
      </c>
      <c r="L789" t="s">
        <v>30</v>
      </c>
      <c r="M789" t="s">
        <v>611</v>
      </c>
      <c r="N789" t="s">
        <v>612</v>
      </c>
    </row>
    <row r="790" spans="1:14" x14ac:dyDescent="0.25">
      <c r="A790" t="s">
        <v>59</v>
      </c>
      <c r="B790" t="s">
        <v>60</v>
      </c>
      <c r="C790" t="s">
        <v>51</v>
      </c>
      <c r="D790" s="13">
        <v>45590</v>
      </c>
      <c r="E790" t="s">
        <v>414</v>
      </c>
      <c r="F790">
        <v>94537.93</v>
      </c>
      <c r="G790">
        <v>0</v>
      </c>
      <c r="H790">
        <v>17298.21</v>
      </c>
      <c r="I790">
        <v>3184.86</v>
      </c>
      <c r="J790">
        <v>6</v>
      </c>
      <c r="K790">
        <v>0</v>
      </c>
      <c r="L790" t="s">
        <v>30</v>
      </c>
      <c r="M790" t="s">
        <v>611</v>
      </c>
      <c r="N790" t="s">
        <v>613</v>
      </c>
    </row>
    <row r="791" spans="1:14" x14ac:dyDescent="0.25">
      <c r="A791" t="s">
        <v>62</v>
      </c>
      <c r="B791" t="s">
        <v>63</v>
      </c>
      <c r="C791" t="s">
        <v>51</v>
      </c>
      <c r="D791" s="13">
        <v>45590</v>
      </c>
      <c r="E791" t="s">
        <v>414</v>
      </c>
      <c r="F791">
        <v>67850.759999999995</v>
      </c>
      <c r="G791">
        <v>0</v>
      </c>
      <c r="H791">
        <v>174010.28</v>
      </c>
      <c r="I791">
        <v>41774.17</v>
      </c>
      <c r="J791">
        <v>4</v>
      </c>
      <c r="K791">
        <v>0</v>
      </c>
      <c r="L791" t="s">
        <v>30</v>
      </c>
      <c r="M791" t="s">
        <v>611</v>
      </c>
      <c r="N791" t="s">
        <v>612</v>
      </c>
    </row>
    <row r="792" spans="1:14" x14ac:dyDescent="0.25">
      <c r="A792" t="s">
        <v>66</v>
      </c>
      <c r="B792" t="s">
        <v>67</v>
      </c>
      <c r="C792" t="s">
        <v>51</v>
      </c>
      <c r="D792" s="13">
        <v>45590</v>
      </c>
      <c r="E792" t="s">
        <v>414</v>
      </c>
      <c r="F792">
        <v>613303</v>
      </c>
      <c r="G792">
        <v>0</v>
      </c>
      <c r="H792">
        <v>176421</v>
      </c>
      <c r="I792">
        <v>40422.85</v>
      </c>
      <c r="J792">
        <v>5</v>
      </c>
      <c r="K792">
        <v>0</v>
      </c>
      <c r="L792" t="s">
        <v>30</v>
      </c>
      <c r="M792" t="s">
        <v>611</v>
      </c>
      <c r="N792" t="s">
        <v>613</v>
      </c>
    </row>
    <row r="793" spans="1:14" x14ac:dyDescent="0.25">
      <c r="A793" t="s">
        <v>68</v>
      </c>
      <c r="B793" t="s">
        <v>69</v>
      </c>
      <c r="C793" t="s">
        <v>51</v>
      </c>
      <c r="D793" s="13">
        <v>45590</v>
      </c>
      <c r="E793" t="s">
        <v>414</v>
      </c>
      <c r="F793">
        <v>50489.35</v>
      </c>
      <c r="G793">
        <v>0</v>
      </c>
      <c r="H793">
        <v>191340</v>
      </c>
      <c r="I793">
        <v>47621.13</v>
      </c>
      <c r="J793">
        <v>5</v>
      </c>
      <c r="K793">
        <v>0</v>
      </c>
      <c r="L793" t="s">
        <v>30</v>
      </c>
      <c r="M793" t="s">
        <v>125</v>
      </c>
      <c r="N793" t="s">
        <v>612</v>
      </c>
    </row>
    <row r="794" spans="1:14" x14ac:dyDescent="0.25">
      <c r="A794" t="s">
        <v>74</v>
      </c>
      <c r="B794" t="s">
        <v>75</v>
      </c>
      <c r="C794" t="s">
        <v>51</v>
      </c>
      <c r="D794" s="13">
        <v>45590</v>
      </c>
      <c r="E794" t="s">
        <v>414</v>
      </c>
      <c r="F794">
        <v>525189</v>
      </c>
      <c r="G794">
        <v>0</v>
      </c>
      <c r="H794">
        <v>225084.02</v>
      </c>
      <c r="I794">
        <v>42544.54</v>
      </c>
      <c r="J794">
        <v>2</v>
      </c>
      <c r="K794">
        <v>0</v>
      </c>
      <c r="L794" t="s">
        <v>30</v>
      </c>
      <c r="M794" t="s">
        <v>115</v>
      </c>
      <c r="N794" t="s">
        <v>612</v>
      </c>
    </row>
    <row r="795" spans="1:14" x14ac:dyDescent="0.25">
      <c r="A795" t="s">
        <v>78</v>
      </c>
      <c r="B795" t="s">
        <v>79</v>
      </c>
      <c r="C795" t="s">
        <v>137</v>
      </c>
      <c r="D795" s="13">
        <v>45590</v>
      </c>
      <c r="E795" t="s">
        <v>414</v>
      </c>
      <c r="F795">
        <v>31361.79</v>
      </c>
      <c r="G795">
        <v>0</v>
      </c>
      <c r="H795">
        <v>119847.17</v>
      </c>
      <c r="I795">
        <v>40219.5</v>
      </c>
      <c r="J795">
        <v>2</v>
      </c>
      <c r="K795">
        <v>0</v>
      </c>
      <c r="L795" t="s">
        <v>30</v>
      </c>
      <c r="M795" t="s">
        <v>101</v>
      </c>
      <c r="N795" t="s">
        <v>612</v>
      </c>
    </row>
    <row r="796" spans="1:14" x14ac:dyDescent="0.25">
      <c r="A796" t="s">
        <v>82</v>
      </c>
      <c r="B796" t="s">
        <v>83</v>
      </c>
      <c r="C796" t="s">
        <v>137</v>
      </c>
      <c r="D796" s="13">
        <v>45590</v>
      </c>
      <c r="E796" t="s">
        <v>414</v>
      </c>
      <c r="F796">
        <v>12802.94</v>
      </c>
      <c r="G796">
        <v>0</v>
      </c>
      <c r="H796">
        <v>54305.1</v>
      </c>
      <c r="I796">
        <v>12499.71</v>
      </c>
      <c r="J796">
        <v>4</v>
      </c>
      <c r="K796">
        <v>0</v>
      </c>
      <c r="L796" t="s">
        <v>30</v>
      </c>
      <c r="M796" t="s">
        <v>611</v>
      </c>
      <c r="N796" t="s">
        <v>612</v>
      </c>
    </row>
    <row r="797" spans="1:14" x14ac:dyDescent="0.25">
      <c r="A797" t="s">
        <v>84</v>
      </c>
      <c r="B797" t="s">
        <v>85</v>
      </c>
      <c r="C797" t="s">
        <v>137</v>
      </c>
      <c r="D797" s="13">
        <v>45590</v>
      </c>
      <c r="E797" t="s">
        <v>414</v>
      </c>
      <c r="F797">
        <v>10810.51</v>
      </c>
      <c r="G797">
        <v>0</v>
      </c>
      <c r="H797">
        <v>33832</v>
      </c>
      <c r="I797">
        <v>6324.45</v>
      </c>
      <c r="J797">
        <v>8</v>
      </c>
      <c r="K797">
        <v>0</v>
      </c>
      <c r="L797" t="s">
        <v>30</v>
      </c>
      <c r="M797" t="s">
        <v>105</v>
      </c>
      <c r="N797" t="s">
        <v>612</v>
      </c>
    </row>
    <row r="798" spans="1:14" x14ac:dyDescent="0.25">
      <c r="A798" t="s">
        <v>87</v>
      </c>
      <c r="B798" t="s">
        <v>88</v>
      </c>
      <c r="C798" t="s">
        <v>137</v>
      </c>
      <c r="D798" s="13">
        <v>45590</v>
      </c>
      <c r="E798" t="s">
        <v>414</v>
      </c>
      <c r="F798">
        <v>17964.29</v>
      </c>
      <c r="G798">
        <v>0</v>
      </c>
      <c r="H798">
        <v>53307.01</v>
      </c>
      <c r="I798">
        <v>17438.3</v>
      </c>
      <c r="J798">
        <v>2</v>
      </c>
      <c r="K798">
        <v>0</v>
      </c>
      <c r="L798" t="s">
        <v>30</v>
      </c>
      <c r="M798" t="s">
        <v>113</v>
      </c>
      <c r="N798" t="s">
        <v>612</v>
      </c>
    </row>
    <row r="799" spans="1:14" x14ac:dyDescent="0.25">
      <c r="A799" t="s">
        <v>90</v>
      </c>
      <c r="B799" t="s">
        <v>91</v>
      </c>
      <c r="C799" t="s">
        <v>137</v>
      </c>
      <c r="D799" s="13">
        <v>45590</v>
      </c>
      <c r="E799" t="s">
        <v>414</v>
      </c>
      <c r="F799">
        <v>27731.06</v>
      </c>
      <c r="G799">
        <v>0</v>
      </c>
      <c r="H799">
        <v>107880.09</v>
      </c>
      <c r="I799">
        <v>22691.21</v>
      </c>
      <c r="J799">
        <v>6</v>
      </c>
      <c r="K799">
        <v>0</v>
      </c>
      <c r="L799" t="s">
        <v>30</v>
      </c>
      <c r="M799" t="s">
        <v>105</v>
      </c>
      <c r="N799" t="s">
        <v>612</v>
      </c>
    </row>
    <row r="800" spans="1:14" x14ac:dyDescent="0.25">
      <c r="A800" t="s">
        <v>93</v>
      </c>
      <c r="B800" t="s">
        <v>94</v>
      </c>
      <c r="C800" t="s">
        <v>137</v>
      </c>
      <c r="D800" s="13">
        <v>45590</v>
      </c>
      <c r="E800" t="s">
        <v>414</v>
      </c>
      <c r="F800">
        <v>19126.25</v>
      </c>
      <c r="G800">
        <v>0</v>
      </c>
      <c r="H800">
        <v>72976.81</v>
      </c>
      <c r="I800">
        <v>24096.33</v>
      </c>
      <c r="J800">
        <v>3</v>
      </c>
      <c r="K800">
        <v>0</v>
      </c>
      <c r="L800" t="s">
        <v>30</v>
      </c>
      <c r="M800" t="s">
        <v>611</v>
      </c>
      <c r="N800" t="s">
        <v>612</v>
      </c>
    </row>
    <row r="801" spans="1:14" x14ac:dyDescent="0.25">
      <c r="A801" t="s">
        <v>14</v>
      </c>
      <c r="B801" t="s">
        <v>15</v>
      </c>
      <c r="C801" t="s">
        <v>16</v>
      </c>
      <c r="D801" s="13">
        <v>45597</v>
      </c>
      <c r="E801" t="s">
        <v>414</v>
      </c>
      <c r="F801">
        <v>113753.49</v>
      </c>
      <c r="G801">
        <v>0</v>
      </c>
      <c r="H801">
        <v>477418.53</v>
      </c>
      <c r="I801">
        <v>96868.31</v>
      </c>
      <c r="J801">
        <v>6</v>
      </c>
      <c r="K801">
        <v>0</v>
      </c>
      <c r="L801" t="s">
        <v>30</v>
      </c>
      <c r="M801" t="s">
        <v>611</v>
      </c>
      <c r="N801" t="s">
        <v>612</v>
      </c>
    </row>
    <row r="802" spans="1:14" x14ac:dyDescent="0.25">
      <c r="A802" t="s">
        <v>21</v>
      </c>
      <c r="B802" t="s">
        <v>22</v>
      </c>
      <c r="C802" t="s">
        <v>16</v>
      </c>
      <c r="D802" s="13">
        <v>45597</v>
      </c>
      <c r="E802" t="s">
        <v>414</v>
      </c>
      <c r="F802">
        <v>66662.100000000006</v>
      </c>
      <c r="G802">
        <v>0</v>
      </c>
      <c r="H802">
        <v>286694.71999999997</v>
      </c>
      <c r="I802">
        <v>52013.57</v>
      </c>
      <c r="J802">
        <v>2</v>
      </c>
      <c r="K802">
        <v>0</v>
      </c>
      <c r="L802" t="s">
        <v>30</v>
      </c>
      <c r="M802" t="s">
        <v>105</v>
      </c>
      <c r="N802" t="s">
        <v>612</v>
      </c>
    </row>
    <row r="803" spans="1:14" x14ac:dyDescent="0.25">
      <c r="A803" t="s">
        <v>27</v>
      </c>
      <c r="B803" t="s">
        <v>28</v>
      </c>
      <c r="C803" t="s">
        <v>16</v>
      </c>
      <c r="D803" s="13">
        <v>45597</v>
      </c>
      <c r="E803" t="s">
        <v>414</v>
      </c>
      <c r="F803">
        <v>126739.27</v>
      </c>
      <c r="G803">
        <v>0</v>
      </c>
      <c r="H803">
        <v>474433.16</v>
      </c>
      <c r="I803">
        <v>151779.21</v>
      </c>
      <c r="J803">
        <v>5</v>
      </c>
      <c r="K803">
        <v>0</v>
      </c>
      <c r="L803" t="s">
        <v>30</v>
      </c>
      <c r="M803" t="s">
        <v>26</v>
      </c>
      <c r="N803" t="s">
        <v>612</v>
      </c>
    </row>
    <row r="804" spans="1:14" x14ac:dyDescent="0.25">
      <c r="A804" t="s">
        <v>32</v>
      </c>
      <c r="B804" t="s">
        <v>33</v>
      </c>
      <c r="C804" t="s">
        <v>16</v>
      </c>
      <c r="D804" s="13">
        <v>45597</v>
      </c>
      <c r="E804" t="s">
        <v>414</v>
      </c>
      <c r="F804">
        <v>201917.82</v>
      </c>
      <c r="G804">
        <v>0</v>
      </c>
      <c r="H804">
        <v>795065.67</v>
      </c>
      <c r="I804">
        <v>182611.79</v>
      </c>
      <c r="J804">
        <v>2</v>
      </c>
      <c r="K804">
        <v>0</v>
      </c>
      <c r="L804" t="s">
        <v>30</v>
      </c>
      <c r="M804" t="s">
        <v>611</v>
      </c>
      <c r="N804" t="s">
        <v>612</v>
      </c>
    </row>
    <row r="805" spans="1:14" x14ac:dyDescent="0.25">
      <c r="A805" t="s">
        <v>39</v>
      </c>
      <c r="B805" t="s">
        <v>40</v>
      </c>
      <c r="C805" t="s">
        <v>16</v>
      </c>
      <c r="D805" s="13">
        <v>45597</v>
      </c>
      <c r="E805" t="s">
        <v>414</v>
      </c>
      <c r="F805">
        <v>100703.52</v>
      </c>
      <c r="G805">
        <v>0</v>
      </c>
      <c r="H805">
        <v>320997</v>
      </c>
      <c r="I805">
        <v>61967.46</v>
      </c>
      <c r="J805">
        <v>3</v>
      </c>
      <c r="K805">
        <v>0</v>
      </c>
      <c r="L805" t="s">
        <v>112</v>
      </c>
      <c r="M805" t="s">
        <v>113</v>
      </c>
      <c r="N805" t="s">
        <v>612</v>
      </c>
    </row>
    <row r="806" spans="1:14" x14ac:dyDescent="0.25">
      <c r="A806" t="s">
        <v>44</v>
      </c>
      <c r="B806" t="s">
        <v>45</v>
      </c>
      <c r="C806" t="s">
        <v>16</v>
      </c>
      <c r="D806" s="13">
        <v>45597</v>
      </c>
      <c r="E806" t="s">
        <v>414</v>
      </c>
      <c r="F806">
        <v>127248.85</v>
      </c>
      <c r="G806">
        <v>0</v>
      </c>
      <c r="H806">
        <v>443938.34</v>
      </c>
      <c r="I806">
        <v>139585.06</v>
      </c>
      <c r="J806">
        <v>1</v>
      </c>
      <c r="K806">
        <v>0</v>
      </c>
      <c r="L806" t="s">
        <v>30</v>
      </c>
      <c r="M806" t="s">
        <v>611</v>
      </c>
      <c r="N806" t="s">
        <v>612</v>
      </c>
    </row>
    <row r="807" spans="1:14" x14ac:dyDescent="0.25">
      <c r="A807" t="s">
        <v>49</v>
      </c>
      <c r="B807" t="s">
        <v>50</v>
      </c>
      <c r="C807" t="s">
        <v>51</v>
      </c>
      <c r="D807" s="13">
        <v>45597</v>
      </c>
      <c r="E807" t="s">
        <v>414</v>
      </c>
      <c r="F807">
        <v>38204.32</v>
      </c>
      <c r="G807">
        <v>0</v>
      </c>
      <c r="H807">
        <v>168360.33</v>
      </c>
      <c r="I807">
        <v>49907.79</v>
      </c>
      <c r="J807">
        <v>1</v>
      </c>
      <c r="K807">
        <v>0</v>
      </c>
      <c r="L807" t="s">
        <v>30</v>
      </c>
      <c r="M807" t="s">
        <v>611</v>
      </c>
      <c r="N807" t="s">
        <v>612</v>
      </c>
    </row>
    <row r="808" spans="1:14" x14ac:dyDescent="0.25">
      <c r="A808" t="s">
        <v>55</v>
      </c>
      <c r="B808" t="s">
        <v>56</v>
      </c>
      <c r="C808" t="s">
        <v>51</v>
      </c>
      <c r="D808" s="13">
        <v>45597</v>
      </c>
      <c r="E808" t="s">
        <v>414</v>
      </c>
      <c r="F808">
        <v>59123.17</v>
      </c>
      <c r="G808">
        <v>0</v>
      </c>
      <c r="H808">
        <v>210548.47</v>
      </c>
      <c r="I808">
        <v>70199.179999999993</v>
      </c>
      <c r="J808">
        <v>5</v>
      </c>
      <c r="K808">
        <v>0</v>
      </c>
      <c r="L808" t="s">
        <v>30</v>
      </c>
      <c r="M808" t="s">
        <v>101</v>
      </c>
      <c r="N808" t="s">
        <v>612</v>
      </c>
    </row>
    <row r="809" spans="1:14" x14ac:dyDescent="0.25">
      <c r="A809" t="s">
        <v>59</v>
      </c>
      <c r="B809" t="s">
        <v>60</v>
      </c>
      <c r="C809" t="s">
        <v>51</v>
      </c>
      <c r="D809" s="13">
        <v>45597</v>
      </c>
      <c r="E809" t="s">
        <v>414</v>
      </c>
      <c r="F809">
        <v>61557.599999999999</v>
      </c>
      <c r="G809">
        <v>0</v>
      </c>
      <c r="H809">
        <v>235243.59</v>
      </c>
      <c r="I809">
        <v>50820.46</v>
      </c>
      <c r="J809">
        <v>6</v>
      </c>
      <c r="K809">
        <v>0</v>
      </c>
      <c r="L809" t="s">
        <v>30</v>
      </c>
      <c r="M809" t="s">
        <v>611</v>
      </c>
      <c r="N809" t="s">
        <v>612</v>
      </c>
    </row>
    <row r="810" spans="1:14" x14ac:dyDescent="0.25">
      <c r="A810" t="s">
        <v>62</v>
      </c>
      <c r="B810" t="s">
        <v>63</v>
      </c>
      <c r="C810" t="s">
        <v>51</v>
      </c>
      <c r="D810" s="13">
        <v>45597</v>
      </c>
      <c r="E810" t="s">
        <v>414</v>
      </c>
      <c r="F810">
        <v>33890.400000000001</v>
      </c>
      <c r="G810">
        <v>0</v>
      </c>
      <c r="H810">
        <v>133366.12</v>
      </c>
      <c r="I810">
        <v>40208.68</v>
      </c>
      <c r="J810">
        <v>4</v>
      </c>
      <c r="K810">
        <v>0</v>
      </c>
      <c r="L810" t="s">
        <v>112</v>
      </c>
      <c r="M810" t="s">
        <v>73</v>
      </c>
      <c r="N810" t="s">
        <v>612</v>
      </c>
    </row>
    <row r="811" spans="1:14" x14ac:dyDescent="0.25">
      <c r="A811" t="s">
        <v>66</v>
      </c>
      <c r="B811" t="s">
        <v>67</v>
      </c>
      <c r="C811" t="s">
        <v>51</v>
      </c>
      <c r="D811" s="13">
        <v>45597</v>
      </c>
      <c r="E811" t="s">
        <v>414</v>
      </c>
      <c r="F811">
        <v>68504.960000000006</v>
      </c>
      <c r="G811">
        <v>0</v>
      </c>
      <c r="H811">
        <v>299027.40000000002</v>
      </c>
      <c r="I811">
        <v>92514.4</v>
      </c>
      <c r="J811">
        <v>4</v>
      </c>
      <c r="K811">
        <v>0</v>
      </c>
      <c r="L811" t="s">
        <v>30</v>
      </c>
      <c r="M811" t="s">
        <v>611</v>
      </c>
      <c r="N811" t="s">
        <v>612</v>
      </c>
    </row>
    <row r="812" spans="1:14" x14ac:dyDescent="0.25">
      <c r="A812" t="s">
        <v>68</v>
      </c>
      <c r="B812" t="s">
        <v>69</v>
      </c>
      <c r="C812" t="s">
        <v>51</v>
      </c>
      <c r="D812" s="13">
        <v>45597</v>
      </c>
      <c r="E812" t="s">
        <v>414</v>
      </c>
      <c r="F812">
        <v>31276.400000000001</v>
      </c>
      <c r="G812">
        <v>0</v>
      </c>
      <c r="H812">
        <v>102398.42</v>
      </c>
      <c r="I812">
        <v>35401.71</v>
      </c>
      <c r="J812">
        <v>2</v>
      </c>
      <c r="K812">
        <v>0</v>
      </c>
      <c r="L812" t="s">
        <v>112</v>
      </c>
      <c r="M812" t="s">
        <v>115</v>
      </c>
      <c r="N812" t="s">
        <v>612</v>
      </c>
    </row>
    <row r="813" spans="1:14" x14ac:dyDescent="0.25">
      <c r="A813" t="s">
        <v>74</v>
      </c>
      <c r="B813" t="s">
        <v>75</v>
      </c>
      <c r="C813" t="s">
        <v>51</v>
      </c>
      <c r="D813" s="13">
        <v>45597</v>
      </c>
      <c r="E813" t="s">
        <v>414</v>
      </c>
      <c r="F813">
        <v>71980.66</v>
      </c>
      <c r="G813">
        <v>0</v>
      </c>
      <c r="H813">
        <v>265064.71999999997</v>
      </c>
      <c r="I813">
        <v>53016.08</v>
      </c>
      <c r="J813">
        <v>4</v>
      </c>
      <c r="K813">
        <v>0</v>
      </c>
      <c r="L813" t="s">
        <v>112</v>
      </c>
      <c r="M813" t="s">
        <v>105</v>
      </c>
      <c r="N813" t="s">
        <v>612</v>
      </c>
    </row>
    <row r="814" spans="1:14" x14ac:dyDescent="0.25">
      <c r="A814" t="s">
        <v>78</v>
      </c>
      <c r="B814" t="s">
        <v>79</v>
      </c>
      <c r="C814" t="s">
        <v>137</v>
      </c>
      <c r="D814" s="13">
        <v>45597</v>
      </c>
      <c r="E814" t="s">
        <v>414</v>
      </c>
      <c r="F814">
        <v>25888.67</v>
      </c>
      <c r="G814">
        <v>0</v>
      </c>
      <c r="H814">
        <v>106803.03</v>
      </c>
      <c r="I814">
        <v>28669.72</v>
      </c>
      <c r="J814">
        <v>12</v>
      </c>
      <c r="K814">
        <v>0</v>
      </c>
      <c r="L814" t="s">
        <v>112</v>
      </c>
      <c r="M814" t="s">
        <v>611</v>
      </c>
      <c r="N814" t="s">
        <v>612</v>
      </c>
    </row>
    <row r="815" spans="1:14" x14ac:dyDescent="0.25">
      <c r="A815" t="s">
        <v>82</v>
      </c>
      <c r="B815" t="s">
        <v>83</v>
      </c>
      <c r="C815" t="s">
        <v>137</v>
      </c>
      <c r="D815" s="13">
        <v>45597</v>
      </c>
      <c r="E815" t="s">
        <v>414</v>
      </c>
      <c r="F815">
        <v>23842.63</v>
      </c>
      <c r="G815">
        <v>0</v>
      </c>
      <c r="H815">
        <v>94804.98</v>
      </c>
      <c r="I815">
        <v>27968.82</v>
      </c>
      <c r="J815">
        <v>8</v>
      </c>
      <c r="K815">
        <v>0</v>
      </c>
      <c r="L815" t="s">
        <v>30</v>
      </c>
      <c r="M815" t="s">
        <v>611</v>
      </c>
      <c r="N815" t="s">
        <v>612</v>
      </c>
    </row>
    <row r="816" spans="1:14" x14ac:dyDescent="0.25">
      <c r="A816" t="s">
        <v>84</v>
      </c>
      <c r="B816" t="s">
        <v>85</v>
      </c>
      <c r="C816" t="s">
        <v>137</v>
      </c>
      <c r="D816" s="13">
        <v>45597</v>
      </c>
      <c r="E816" t="s">
        <v>414</v>
      </c>
      <c r="F816">
        <v>10652.83</v>
      </c>
      <c r="G816">
        <v>0</v>
      </c>
      <c r="H816">
        <v>50129.18</v>
      </c>
      <c r="I816">
        <v>15902.46</v>
      </c>
      <c r="J816">
        <v>7</v>
      </c>
      <c r="K816">
        <v>0</v>
      </c>
      <c r="L816" t="s">
        <v>112</v>
      </c>
      <c r="M816" t="s">
        <v>611</v>
      </c>
      <c r="N816" t="s">
        <v>612</v>
      </c>
    </row>
    <row r="817" spans="1:14" x14ac:dyDescent="0.25">
      <c r="A817" t="s">
        <v>87</v>
      </c>
      <c r="B817" t="s">
        <v>88</v>
      </c>
      <c r="C817" t="s">
        <v>137</v>
      </c>
      <c r="D817" s="13">
        <v>45597</v>
      </c>
      <c r="E817" t="s">
        <v>414</v>
      </c>
      <c r="F817">
        <v>32272.84</v>
      </c>
      <c r="G817">
        <v>0</v>
      </c>
      <c r="H817">
        <v>147852.34</v>
      </c>
      <c r="I817">
        <v>45523.23</v>
      </c>
      <c r="J817">
        <v>2</v>
      </c>
      <c r="K817">
        <v>0</v>
      </c>
      <c r="L817" t="s">
        <v>30</v>
      </c>
      <c r="M817" t="s">
        <v>101</v>
      </c>
      <c r="N817" t="s">
        <v>612</v>
      </c>
    </row>
    <row r="818" spans="1:14" x14ac:dyDescent="0.25">
      <c r="A818" t="s">
        <v>90</v>
      </c>
      <c r="B818" t="s">
        <v>91</v>
      </c>
      <c r="C818" t="s">
        <v>137</v>
      </c>
      <c r="D818" s="13">
        <v>45597</v>
      </c>
      <c r="E818" t="s">
        <v>414</v>
      </c>
      <c r="F818">
        <v>26044.51</v>
      </c>
      <c r="G818">
        <v>0</v>
      </c>
      <c r="H818">
        <v>86913.19</v>
      </c>
      <c r="I818">
        <v>28269.08</v>
      </c>
      <c r="J818">
        <v>2</v>
      </c>
      <c r="K818">
        <v>0</v>
      </c>
      <c r="L818" t="s">
        <v>112</v>
      </c>
      <c r="M818" t="s">
        <v>115</v>
      </c>
      <c r="N818" t="s">
        <v>612</v>
      </c>
    </row>
    <row r="819" spans="1:14" x14ac:dyDescent="0.25">
      <c r="A819" t="s">
        <v>93</v>
      </c>
      <c r="B819" t="s">
        <v>94</v>
      </c>
      <c r="C819" t="s">
        <v>137</v>
      </c>
      <c r="D819" s="13">
        <v>45597</v>
      </c>
      <c r="E819" t="s">
        <v>414</v>
      </c>
      <c r="F819">
        <v>39062.699999999997</v>
      </c>
      <c r="G819">
        <v>0</v>
      </c>
      <c r="H819">
        <v>190374.38</v>
      </c>
      <c r="I819">
        <v>54558.67</v>
      </c>
      <c r="J819">
        <v>2</v>
      </c>
      <c r="K819">
        <v>0</v>
      </c>
      <c r="L819" t="s">
        <v>30</v>
      </c>
      <c r="M819" t="s">
        <v>611</v>
      </c>
      <c r="N819" t="s">
        <v>612</v>
      </c>
    </row>
    <row r="820" spans="1:14" x14ac:dyDescent="0.25">
      <c r="A820" t="s">
        <v>96</v>
      </c>
      <c r="B820" t="s">
        <v>97</v>
      </c>
      <c r="C820" t="s">
        <v>137</v>
      </c>
      <c r="D820" s="13">
        <v>45597</v>
      </c>
      <c r="E820" t="s">
        <v>414</v>
      </c>
      <c r="F820">
        <v>27602.57</v>
      </c>
      <c r="G820">
        <v>0</v>
      </c>
      <c r="H820">
        <v>97412.66</v>
      </c>
      <c r="I820">
        <v>19806.22</v>
      </c>
      <c r="J820">
        <v>2</v>
      </c>
      <c r="K820">
        <v>0</v>
      </c>
      <c r="L820" t="s">
        <v>30</v>
      </c>
      <c r="M820" t="s">
        <v>26</v>
      </c>
      <c r="N820" t="s">
        <v>612</v>
      </c>
    </row>
    <row r="821" spans="1:14" x14ac:dyDescent="0.25">
      <c r="A821" t="s">
        <v>14</v>
      </c>
      <c r="B821" t="s">
        <v>15</v>
      </c>
      <c r="C821" t="s">
        <v>16</v>
      </c>
      <c r="D821" s="13">
        <v>45604</v>
      </c>
      <c r="E821" t="s">
        <v>414</v>
      </c>
      <c r="F821">
        <v>116896.42</v>
      </c>
      <c r="G821">
        <v>0</v>
      </c>
      <c r="H821">
        <v>445369.94</v>
      </c>
      <c r="I821">
        <v>85251.32</v>
      </c>
      <c r="J821">
        <v>2</v>
      </c>
      <c r="K821">
        <v>0</v>
      </c>
      <c r="L821" t="s">
        <v>30</v>
      </c>
      <c r="M821" t="s">
        <v>127</v>
      </c>
      <c r="N821" t="s">
        <v>612</v>
      </c>
    </row>
    <row r="822" spans="1:14" x14ac:dyDescent="0.25">
      <c r="A822" t="s">
        <v>21</v>
      </c>
      <c r="B822" t="s">
        <v>22</v>
      </c>
      <c r="C822" t="s">
        <v>16</v>
      </c>
      <c r="D822" s="13">
        <v>45604</v>
      </c>
      <c r="E822" t="s">
        <v>414</v>
      </c>
      <c r="F822">
        <v>163543.45000000001</v>
      </c>
      <c r="G822">
        <v>0</v>
      </c>
      <c r="H822">
        <v>779954.23</v>
      </c>
      <c r="I822">
        <v>150812.79</v>
      </c>
      <c r="J822">
        <v>2</v>
      </c>
      <c r="K822">
        <v>0</v>
      </c>
      <c r="L822" t="s">
        <v>30</v>
      </c>
      <c r="M822" t="s">
        <v>611</v>
      </c>
      <c r="N822" t="s">
        <v>612</v>
      </c>
    </row>
    <row r="823" spans="1:14" x14ac:dyDescent="0.25">
      <c r="A823" t="s">
        <v>27</v>
      </c>
      <c r="B823" t="s">
        <v>28</v>
      </c>
      <c r="C823" t="s">
        <v>16</v>
      </c>
      <c r="D823" s="13">
        <v>45604</v>
      </c>
      <c r="E823" t="s">
        <v>414</v>
      </c>
      <c r="F823">
        <v>106654.21</v>
      </c>
      <c r="G823">
        <v>0</v>
      </c>
      <c r="H823">
        <v>504314</v>
      </c>
      <c r="I823">
        <v>117105.22</v>
      </c>
      <c r="J823">
        <v>5</v>
      </c>
      <c r="K823">
        <v>0</v>
      </c>
      <c r="L823" t="s">
        <v>30</v>
      </c>
      <c r="M823" t="s">
        <v>31</v>
      </c>
      <c r="N823" t="s">
        <v>612</v>
      </c>
    </row>
    <row r="824" spans="1:14" x14ac:dyDescent="0.25">
      <c r="A824" t="s">
        <v>32</v>
      </c>
      <c r="B824" t="s">
        <v>33</v>
      </c>
      <c r="C824" t="s">
        <v>16</v>
      </c>
      <c r="D824" s="13">
        <v>45604</v>
      </c>
      <c r="E824" t="s">
        <v>414</v>
      </c>
      <c r="F824">
        <v>87406.02</v>
      </c>
      <c r="G824">
        <v>0</v>
      </c>
      <c r="H824">
        <v>367552</v>
      </c>
      <c r="I824">
        <v>91050.63</v>
      </c>
      <c r="J824">
        <v>5</v>
      </c>
      <c r="K824">
        <v>0</v>
      </c>
      <c r="L824" t="s">
        <v>30</v>
      </c>
      <c r="M824" t="s">
        <v>26</v>
      </c>
      <c r="N824" t="s">
        <v>612</v>
      </c>
    </row>
    <row r="825" spans="1:14" x14ac:dyDescent="0.25">
      <c r="A825" t="s">
        <v>39</v>
      </c>
      <c r="B825" t="s">
        <v>40</v>
      </c>
      <c r="C825" t="s">
        <v>16</v>
      </c>
      <c r="D825" s="13">
        <v>45604</v>
      </c>
      <c r="E825" t="s">
        <v>414</v>
      </c>
      <c r="F825">
        <v>205197.27</v>
      </c>
      <c r="G825">
        <v>0</v>
      </c>
      <c r="H825">
        <v>937404.13</v>
      </c>
      <c r="I825">
        <v>199550.39</v>
      </c>
      <c r="J825">
        <v>5</v>
      </c>
      <c r="K825">
        <v>0</v>
      </c>
      <c r="L825" t="s">
        <v>112</v>
      </c>
      <c r="M825" t="s">
        <v>105</v>
      </c>
      <c r="N825" t="s">
        <v>612</v>
      </c>
    </row>
    <row r="826" spans="1:14" x14ac:dyDescent="0.25">
      <c r="A826" t="s">
        <v>44</v>
      </c>
      <c r="B826" t="s">
        <v>45</v>
      </c>
      <c r="C826" t="s">
        <v>16</v>
      </c>
      <c r="D826" s="13">
        <v>45604</v>
      </c>
      <c r="E826" t="s">
        <v>414</v>
      </c>
      <c r="F826">
        <v>155510.39000000001</v>
      </c>
      <c r="G826">
        <v>0</v>
      </c>
      <c r="H826">
        <v>718487.56</v>
      </c>
      <c r="I826">
        <v>212572.01</v>
      </c>
      <c r="J826">
        <v>3</v>
      </c>
      <c r="K826">
        <v>0</v>
      </c>
      <c r="L826" t="s">
        <v>30</v>
      </c>
      <c r="M826" t="s">
        <v>127</v>
      </c>
      <c r="N826" t="s">
        <v>612</v>
      </c>
    </row>
    <row r="827" spans="1:14" x14ac:dyDescent="0.25">
      <c r="A827" t="s">
        <v>49</v>
      </c>
      <c r="B827" t="s">
        <v>50</v>
      </c>
      <c r="C827" t="s">
        <v>51</v>
      </c>
      <c r="D827" s="13">
        <v>45604</v>
      </c>
      <c r="E827" t="s">
        <v>414</v>
      </c>
      <c r="F827">
        <v>50849.73</v>
      </c>
      <c r="G827">
        <v>0</v>
      </c>
      <c r="H827">
        <v>178620.43</v>
      </c>
      <c r="I827">
        <v>36601.56</v>
      </c>
      <c r="J827">
        <v>1</v>
      </c>
      <c r="K827">
        <v>0</v>
      </c>
      <c r="L827" t="s">
        <v>30</v>
      </c>
      <c r="M827" t="s">
        <v>26</v>
      </c>
      <c r="N827" t="s">
        <v>612</v>
      </c>
    </row>
    <row r="828" spans="1:14" x14ac:dyDescent="0.25">
      <c r="A828" t="s">
        <v>55</v>
      </c>
      <c r="B828" t="s">
        <v>56</v>
      </c>
      <c r="C828" t="s">
        <v>51</v>
      </c>
      <c r="D828" s="13">
        <v>45604</v>
      </c>
      <c r="E828" t="s">
        <v>414</v>
      </c>
      <c r="F828">
        <v>70724.83</v>
      </c>
      <c r="G828">
        <v>0</v>
      </c>
      <c r="H828">
        <v>179434.57</v>
      </c>
      <c r="I828">
        <v>62462.69</v>
      </c>
      <c r="J828">
        <v>1</v>
      </c>
      <c r="K828">
        <v>0</v>
      </c>
      <c r="L828" t="s">
        <v>30</v>
      </c>
      <c r="M828" t="s">
        <v>611</v>
      </c>
      <c r="N828" t="s">
        <v>612</v>
      </c>
    </row>
    <row r="829" spans="1:14" x14ac:dyDescent="0.25">
      <c r="A829" t="s">
        <v>59</v>
      </c>
      <c r="B829" t="s">
        <v>60</v>
      </c>
      <c r="C829" t="s">
        <v>51</v>
      </c>
      <c r="D829" s="13">
        <v>45604</v>
      </c>
      <c r="E829" t="s">
        <v>414</v>
      </c>
      <c r="F829">
        <v>74850.98</v>
      </c>
      <c r="G829">
        <v>0</v>
      </c>
      <c r="H829">
        <v>331696.65000000002</v>
      </c>
      <c r="I829">
        <v>83950.23</v>
      </c>
      <c r="J829">
        <v>5</v>
      </c>
      <c r="K829">
        <v>0</v>
      </c>
      <c r="L829" t="s">
        <v>30</v>
      </c>
      <c r="M829" t="s">
        <v>105</v>
      </c>
      <c r="N829" t="s">
        <v>612</v>
      </c>
    </row>
    <row r="830" spans="1:14" x14ac:dyDescent="0.25">
      <c r="A830" t="s">
        <v>62</v>
      </c>
      <c r="B830" t="s">
        <v>63</v>
      </c>
      <c r="C830" t="s">
        <v>51</v>
      </c>
      <c r="D830" s="13">
        <v>45604</v>
      </c>
      <c r="E830" t="s">
        <v>414</v>
      </c>
      <c r="F830">
        <v>62536.94</v>
      </c>
      <c r="G830">
        <v>0</v>
      </c>
      <c r="H830">
        <v>249869.92</v>
      </c>
      <c r="I830">
        <v>66528.22</v>
      </c>
      <c r="J830">
        <v>3</v>
      </c>
      <c r="K830">
        <v>0</v>
      </c>
      <c r="L830" t="s">
        <v>30</v>
      </c>
      <c r="M830" t="s">
        <v>611</v>
      </c>
      <c r="N830" t="s">
        <v>612</v>
      </c>
    </row>
    <row r="831" spans="1:14" x14ac:dyDescent="0.25">
      <c r="A831" t="s">
        <v>66</v>
      </c>
      <c r="B831" t="s">
        <v>67</v>
      </c>
      <c r="C831" t="s">
        <v>51</v>
      </c>
      <c r="D831" s="13">
        <v>45604</v>
      </c>
      <c r="E831" t="s">
        <v>414</v>
      </c>
      <c r="F831">
        <v>87745.8</v>
      </c>
      <c r="G831">
        <v>0</v>
      </c>
      <c r="H831">
        <v>2272717</v>
      </c>
      <c r="I831">
        <v>44439.95</v>
      </c>
      <c r="J831">
        <v>2</v>
      </c>
      <c r="K831">
        <v>0</v>
      </c>
      <c r="L831" t="s">
        <v>30</v>
      </c>
      <c r="M831" t="s">
        <v>611</v>
      </c>
      <c r="N831" t="s">
        <v>612</v>
      </c>
    </row>
    <row r="832" spans="1:14" x14ac:dyDescent="0.25">
      <c r="A832" t="s">
        <v>68</v>
      </c>
      <c r="B832" t="s">
        <v>69</v>
      </c>
      <c r="C832" t="s">
        <v>51</v>
      </c>
      <c r="D832" s="13">
        <v>45604</v>
      </c>
      <c r="E832" t="s">
        <v>414</v>
      </c>
      <c r="F832">
        <v>87811.42</v>
      </c>
      <c r="G832">
        <v>0</v>
      </c>
      <c r="H832">
        <v>357352.73</v>
      </c>
      <c r="I832">
        <v>94388.54</v>
      </c>
      <c r="J832">
        <v>5</v>
      </c>
      <c r="K832">
        <v>0</v>
      </c>
      <c r="L832" t="s">
        <v>30</v>
      </c>
      <c r="M832" t="s">
        <v>101</v>
      </c>
      <c r="N832" t="s">
        <v>612</v>
      </c>
    </row>
    <row r="833" spans="1:14" x14ac:dyDescent="0.25">
      <c r="A833" t="s">
        <v>74</v>
      </c>
      <c r="B833" t="s">
        <v>75</v>
      </c>
      <c r="C833" t="s">
        <v>51</v>
      </c>
      <c r="D833" s="13">
        <v>45604</v>
      </c>
      <c r="E833" t="s">
        <v>414</v>
      </c>
      <c r="F833">
        <v>74985.87</v>
      </c>
      <c r="G833">
        <v>0</v>
      </c>
      <c r="H833">
        <v>287222.25</v>
      </c>
      <c r="I833">
        <v>51731.97</v>
      </c>
      <c r="J833">
        <v>6</v>
      </c>
      <c r="K833">
        <v>0</v>
      </c>
      <c r="L833" t="s">
        <v>30</v>
      </c>
      <c r="M833" t="s">
        <v>611</v>
      </c>
      <c r="N833" t="s">
        <v>612</v>
      </c>
    </row>
    <row r="834" spans="1:14" x14ac:dyDescent="0.25">
      <c r="A834" t="s">
        <v>78</v>
      </c>
      <c r="B834" t="s">
        <v>79</v>
      </c>
      <c r="C834" t="s">
        <v>137</v>
      </c>
      <c r="D834" s="13">
        <v>45604</v>
      </c>
      <c r="E834" t="s">
        <v>414</v>
      </c>
      <c r="F834">
        <v>16960.68</v>
      </c>
      <c r="G834">
        <v>0</v>
      </c>
      <c r="H834">
        <v>44026.35</v>
      </c>
      <c r="I834">
        <v>9181.5300000000007</v>
      </c>
      <c r="J834">
        <v>10</v>
      </c>
      <c r="K834">
        <v>0</v>
      </c>
      <c r="L834" t="s">
        <v>30</v>
      </c>
      <c r="M834" t="s">
        <v>611</v>
      </c>
      <c r="N834" t="s">
        <v>612</v>
      </c>
    </row>
    <row r="835" spans="1:14" x14ac:dyDescent="0.25">
      <c r="A835" t="s">
        <v>82</v>
      </c>
      <c r="B835" t="s">
        <v>83</v>
      </c>
      <c r="C835" t="s">
        <v>137</v>
      </c>
      <c r="D835" s="13">
        <v>45604</v>
      </c>
      <c r="E835" t="s">
        <v>414</v>
      </c>
      <c r="F835">
        <v>33140.230000000003</v>
      </c>
      <c r="G835">
        <v>0</v>
      </c>
      <c r="H835">
        <v>130576.93</v>
      </c>
      <c r="I835">
        <v>32191.85</v>
      </c>
      <c r="J835">
        <v>5</v>
      </c>
      <c r="K835">
        <v>0</v>
      </c>
      <c r="L835" t="s">
        <v>30</v>
      </c>
      <c r="M835" t="s">
        <v>611</v>
      </c>
      <c r="N835" t="s">
        <v>612</v>
      </c>
    </row>
    <row r="836" spans="1:14" x14ac:dyDescent="0.25">
      <c r="A836" t="s">
        <v>84</v>
      </c>
      <c r="B836" t="s">
        <v>85</v>
      </c>
      <c r="C836" t="s">
        <v>137</v>
      </c>
      <c r="D836" s="13">
        <v>45604</v>
      </c>
      <c r="E836" t="s">
        <v>414</v>
      </c>
      <c r="F836">
        <v>33168.35</v>
      </c>
      <c r="G836">
        <v>0</v>
      </c>
      <c r="H836">
        <v>161283.12</v>
      </c>
      <c r="I836">
        <v>55588.93</v>
      </c>
      <c r="J836">
        <v>4</v>
      </c>
      <c r="K836">
        <v>0</v>
      </c>
      <c r="L836" t="s">
        <v>30</v>
      </c>
      <c r="M836" t="s">
        <v>127</v>
      </c>
      <c r="N836" t="s">
        <v>612</v>
      </c>
    </row>
    <row r="837" spans="1:14" x14ac:dyDescent="0.25">
      <c r="A837" t="s">
        <v>87</v>
      </c>
      <c r="B837" t="s">
        <v>88</v>
      </c>
      <c r="C837" t="s">
        <v>137</v>
      </c>
      <c r="D837" s="13">
        <v>45604</v>
      </c>
      <c r="E837" t="s">
        <v>414</v>
      </c>
      <c r="F837">
        <v>18562.919999999998</v>
      </c>
      <c r="G837">
        <v>0</v>
      </c>
      <c r="H837">
        <v>90569.81</v>
      </c>
      <c r="I837">
        <v>20349.62</v>
      </c>
      <c r="J837">
        <v>8</v>
      </c>
      <c r="K837">
        <v>0</v>
      </c>
      <c r="L837" t="s">
        <v>112</v>
      </c>
      <c r="M837" t="s">
        <v>101</v>
      </c>
      <c r="N837" t="s">
        <v>612</v>
      </c>
    </row>
    <row r="838" spans="1:14" x14ac:dyDescent="0.25">
      <c r="A838" t="s">
        <v>90</v>
      </c>
      <c r="B838" t="s">
        <v>91</v>
      </c>
      <c r="C838" t="s">
        <v>137</v>
      </c>
      <c r="D838" s="13">
        <v>45604</v>
      </c>
      <c r="E838" t="s">
        <v>414</v>
      </c>
      <c r="F838">
        <v>24825.87</v>
      </c>
      <c r="G838">
        <v>0</v>
      </c>
      <c r="H838">
        <v>117542.24</v>
      </c>
      <c r="I838">
        <v>22646.47</v>
      </c>
      <c r="J838">
        <v>3</v>
      </c>
      <c r="K838">
        <v>0</v>
      </c>
      <c r="L838" t="s">
        <v>112</v>
      </c>
      <c r="M838" t="s">
        <v>26</v>
      </c>
      <c r="N838" t="s">
        <v>612</v>
      </c>
    </row>
    <row r="839" spans="1:14" x14ac:dyDescent="0.25">
      <c r="A839" t="s">
        <v>93</v>
      </c>
      <c r="B839" t="s">
        <v>94</v>
      </c>
      <c r="C839" t="s">
        <v>137</v>
      </c>
      <c r="D839" s="13">
        <v>45604</v>
      </c>
      <c r="E839" t="s">
        <v>414</v>
      </c>
      <c r="F839">
        <v>18222.3</v>
      </c>
      <c r="G839">
        <v>0</v>
      </c>
      <c r="H839">
        <v>60441.9</v>
      </c>
      <c r="I839">
        <v>11981.26</v>
      </c>
      <c r="J839">
        <v>4</v>
      </c>
      <c r="K839">
        <v>0</v>
      </c>
      <c r="L839" t="s">
        <v>30</v>
      </c>
      <c r="M839" t="s">
        <v>611</v>
      </c>
      <c r="N839" t="s">
        <v>612</v>
      </c>
    </row>
    <row r="840" spans="1:14" x14ac:dyDescent="0.25">
      <c r="A840" t="s">
        <v>96</v>
      </c>
      <c r="B840" t="s">
        <v>97</v>
      </c>
      <c r="C840" t="s">
        <v>137</v>
      </c>
      <c r="D840" s="13">
        <v>45604</v>
      </c>
      <c r="E840" t="s">
        <v>414</v>
      </c>
      <c r="F840">
        <v>30858.34</v>
      </c>
      <c r="G840">
        <v>0</v>
      </c>
      <c r="H840">
        <v>126774.69</v>
      </c>
      <c r="I840">
        <v>43301.89</v>
      </c>
      <c r="J840">
        <v>3</v>
      </c>
      <c r="K840">
        <v>0</v>
      </c>
      <c r="L840" t="s">
        <v>30</v>
      </c>
      <c r="M840" t="s">
        <v>115</v>
      </c>
      <c r="N840" t="s">
        <v>612</v>
      </c>
    </row>
    <row r="841" spans="1:14" x14ac:dyDescent="0.25">
      <c r="A841" t="s">
        <v>14</v>
      </c>
      <c r="B841" t="s">
        <v>15</v>
      </c>
      <c r="C841" t="s">
        <v>16</v>
      </c>
      <c r="D841" s="13">
        <v>45611</v>
      </c>
      <c r="E841" t="s">
        <v>414</v>
      </c>
      <c r="F841">
        <v>196887.7</v>
      </c>
      <c r="G841">
        <v>0</v>
      </c>
      <c r="H841">
        <v>495530.18</v>
      </c>
      <c r="I841">
        <v>108992.7</v>
      </c>
      <c r="J841">
        <v>5</v>
      </c>
      <c r="K841">
        <v>0</v>
      </c>
      <c r="L841" t="s">
        <v>30</v>
      </c>
      <c r="M841" t="s">
        <v>611</v>
      </c>
      <c r="N841" t="s">
        <v>612</v>
      </c>
    </row>
    <row r="842" spans="1:14" x14ac:dyDescent="0.25">
      <c r="A842" t="s">
        <v>21</v>
      </c>
      <c r="B842" t="s">
        <v>22</v>
      </c>
      <c r="C842" t="s">
        <v>16</v>
      </c>
      <c r="D842" s="13">
        <v>45611</v>
      </c>
      <c r="E842" t="s">
        <v>414</v>
      </c>
      <c r="F842">
        <v>144294.53</v>
      </c>
      <c r="G842">
        <v>0</v>
      </c>
      <c r="H842">
        <v>421192.09</v>
      </c>
      <c r="I842">
        <v>100008.43</v>
      </c>
      <c r="J842">
        <v>3</v>
      </c>
      <c r="K842">
        <v>0</v>
      </c>
      <c r="L842" t="s">
        <v>112</v>
      </c>
      <c r="M842" t="s">
        <v>73</v>
      </c>
      <c r="N842" t="s">
        <v>612</v>
      </c>
    </row>
    <row r="843" spans="1:14" x14ac:dyDescent="0.25">
      <c r="A843" t="s">
        <v>27</v>
      </c>
      <c r="B843" t="s">
        <v>28</v>
      </c>
      <c r="C843" t="s">
        <v>16</v>
      </c>
      <c r="D843" s="13">
        <v>45611</v>
      </c>
      <c r="E843" t="s">
        <v>414</v>
      </c>
      <c r="F843">
        <v>98045.56</v>
      </c>
      <c r="G843">
        <v>0</v>
      </c>
      <c r="H843">
        <v>468286.85</v>
      </c>
      <c r="I843">
        <v>148967.22</v>
      </c>
      <c r="J843">
        <v>4</v>
      </c>
      <c r="K843">
        <v>0</v>
      </c>
      <c r="L843" t="s">
        <v>112</v>
      </c>
      <c r="M843" t="s">
        <v>26</v>
      </c>
      <c r="N843" t="s">
        <v>612</v>
      </c>
    </row>
    <row r="844" spans="1:14" x14ac:dyDescent="0.25">
      <c r="A844" t="s">
        <v>32</v>
      </c>
      <c r="B844" t="s">
        <v>33</v>
      </c>
      <c r="C844" t="s">
        <v>16</v>
      </c>
      <c r="D844" s="13">
        <v>45611</v>
      </c>
      <c r="E844" t="s">
        <v>414</v>
      </c>
      <c r="F844">
        <v>98357.91</v>
      </c>
      <c r="G844">
        <v>0</v>
      </c>
      <c r="H844">
        <v>463040.51</v>
      </c>
      <c r="I844">
        <v>146266.65</v>
      </c>
      <c r="J844">
        <v>3</v>
      </c>
      <c r="K844">
        <v>0</v>
      </c>
      <c r="L844" t="s">
        <v>30</v>
      </c>
      <c r="M844" t="s">
        <v>127</v>
      </c>
      <c r="N844" t="s">
        <v>612</v>
      </c>
    </row>
    <row r="845" spans="1:14" x14ac:dyDescent="0.25">
      <c r="A845" t="s">
        <v>39</v>
      </c>
      <c r="B845" t="s">
        <v>40</v>
      </c>
      <c r="C845" t="s">
        <v>16</v>
      </c>
      <c r="D845" s="13">
        <v>45611</v>
      </c>
      <c r="E845" t="s">
        <v>414</v>
      </c>
      <c r="F845">
        <v>119810.82</v>
      </c>
      <c r="G845">
        <v>0</v>
      </c>
      <c r="H845">
        <v>484307.84</v>
      </c>
      <c r="I845">
        <v>138218.35</v>
      </c>
      <c r="J845">
        <v>6</v>
      </c>
      <c r="K845">
        <v>0</v>
      </c>
      <c r="L845" t="s">
        <v>30</v>
      </c>
      <c r="M845" t="s">
        <v>43</v>
      </c>
      <c r="N845" t="s">
        <v>612</v>
      </c>
    </row>
    <row r="846" spans="1:14" x14ac:dyDescent="0.25">
      <c r="A846" t="s">
        <v>44</v>
      </c>
      <c r="B846" t="s">
        <v>45</v>
      </c>
      <c r="C846" t="s">
        <v>16</v>
      </c>
      <c r="D846" s="13">
        <v>45611</v>
      </c>
      <c r="E846" t="s">
        <v>414</v>
      </c>
      <c r="F846">
        <v>98163.12</v>
      </c>
      <c r="G846">
        <v>0</v>
      </c>
      <c r="H846">
        <v>487082.93</v>
      </c>
      <c r="I846">
        <v>163791.85999999999</v>
      </c>
      <c r="J846">
        <v>3</v>
      </c>
      <c r="K846">
        <v>0</v>
      </c>
      <c r="L846" t="s">
        <v>30</v>
      </c>
      <c r="M846" t="s">
        <v>26</v>
      </c>
      <c r="N846" t="s">
        <v>612</v>
      </c>
    </row>
    <row r="847" spans="1:14" x14ac:dyDescent="0.25">
      <c r="A847" t="s">
        <v>49</v>
      </c>
      <c r="B847" t="s">
        <v>50</v>
      </c>
      <c r="C847" t="s">
        <v>51</v>
      </c>
      <c r="D847" s="13">
        <v>45611</v>
      </c>
      <c r="E847" t="s">
        <v>414</v>
      </c>
      <c r="F847">
        <v>48832.36</v>
      </c>
      <c r="G847">
        <v>0</v>
      </c>
      <c r="H847">
        <v>9652.17</v>
      </c>
      <c r="I847">
        <v>3190.35</v>
      </c>
      <c r="J847">
        <v>5</v>
      </c>
      <c r="K847">
        <v>0</v>
      </c>
      <c r="L847" t="s">
        <v>30</v>
      </c>
      <c r="M847" t="s">
        <v>611</v>
      </c>
      <c r="N847" t="s">
        <v>613</v>
      </c>
    </row>
    <row r="848" spans="1:14" x14ac:dyDescent="0.25">
      <c r="A848" t="s">
        <v>55</v>
      </c>
      <c r="B848" t="s">
        <v>56</v>
      </c>
      <c r="C848" t="s">
        <v>51</v>
      </c>
      <c r="D848" s="13">
        <v>45611</v>
      </c>
      <c r="E848" t="s">
        <v>414</v>
      </c>
      <c r="F848">
        <v>69909.440000000002</v>
      </c>
      <c r="G848">
        <v>0</v>
      </c>
      <c r="H848">
        <v>206349.1</v>
      </c>
      <c r="I848">
        <v>53428.83</v>
      </c>
      <c r="J848">
        <v>3</v>
      </c>
      <c r="K848">
        <v>0</v>
      </c>
      <c r="L848" t="s">
        <v>30</v>
      </c>
      <c r="M848" t="s">
        <v>26</v>
      </c>
      <c r="N848" t="s">
        <v>612</v>
      </c>
    </row>
    <row r="849" spans="1:14" x14ac:dyDescent="0.25">
      <c r="A849" t="s">
        <v>59</v>
      </c>
      <c r="B849" t="s">
        <v>60</v>
      </c>
      <c r="C849" t="s">
        <v>51</v>
      </c>
      <c r="D849" s="13">
        <v>45611</v>
      </c>
      <c r="E849" t="s">
        <v>414</v>
      </c>
      <c r="F849">
        <v>102961.65</v>
      </c>
      <c r="G849">
        <v>0</v>
      </c>
      <c r="H849">
        <v>399954.48</v>
      </c>
      <c r="I849">
        <v>98678.47</v>
      </c>
      <c r="J849">
        <v>5</v>
      </c>
      <c r="K849">
        <v>0</v>
      </c>
      <c r="L849" t="s">
        <v>30</v>
      </c>
      <c r="M849" t="s">
        <v>611</v>
      </c>
      <c r="N849" t="s">
        <v>612</v>
      </c>
    </row>
    <row r="850" spans="1:14" x14ac:dyDescent="0.25">
      <c r="A850" t="s">
        <v>62</v>
      </c>
      <c r="B850" t="s">
        <v>63</v>
      </c>
      <c r="C850" t="s">
        <v>51</v>
      </c>
      <c r="D850" s="13">
        <v>45611</v>
      </c>
      <c r="E850" t="s">
        <v>414</v>
      </c>
      <c r="F850">
        <v>87997.21</v>
      </c>
      <c r="G850">
        <v>0</v>
      </c>
      <c r="H850">
        <v>423725.75</v>
      </c>
      <c r="I850">
        <v>88699.55</v>
      </c>
      <c r="J850">
        <v>5</v>
      </c>
      <c r="K850">
        <v>0</v>
      </c>
      <c r="L850" t="s">
        <v>112</v>
      </c>
      <c r="M850" t="s">
        <v>73</v>
      </c>
      <c r="N850" t="s">
        <v>612</v>
      </c>
    </row>
    <row r="851" spans="1:14" x14ac:dyDescent="0.25">
      <c r="A851" t="s">
        <v>66</v>
      </c>
      <c r="B851" t="s">
        <v>67</v>
      </c>
      <c r="C851" t="s">
        <v>51</v>
      </c>
      <c r="D851" s="13">
        <v>45611</v>
      </c>
      <c r="E851" t="s">
        <v>414</v>
      </c>
      <c r="F851">
        <v>63039.54</v>
      </c>
      <c r="G851">
        <v>0</v>
      </c>
      <c r="H851">
        <v>183849.1</v>
      </c>
      <c r="I851">
        <v>55048.09</v>
      </c>
      <c r="J851">
        <v>2</v>
      </c>
      <c r="K851">
        <v>0</v>
      </c>
      <c r="L851" t="s">
        <v>30</v>
      </c>
      <c r="M851" t="s">
        <v>611</v>
      </c>
      <c r="N851" t="s">
        <v>612</v>
      </c>
    </row>
    <row r="852" spans="1:14" x14ac:dyDescent="0.25">
      <c r="A852" t="s">
        <v>68</v>
      </c>
      <c r="B852" t="s">
        <v>69</v>
      </c>
      <c r="C852" t="s">
        <v>51</v>
      </c>
      <c r="D852" s="13">
        <v>45611</v>
      </c>
      <c r="E852" t="s">
        <v>414</v>
      </c>
      <c r="F852">
        <v>78494.509999999995</v>
      </c>
      <c r="G852">
        <v>0</v>
      </c>
      <c r="H852">
        <v>381070.9</v>
      </c>
      <c r="I852">
        <v>85503.33</v>
      </c>
      <c r="J852">
        <v>3</v>
      </c>
      <c r="K852">
        <v>0</v>
      </c>
      <c r="L852" t="s">
        <v>112</v>
      </c>
      <c r="M852" t="s">
        <v>611</v>
      </c>
      <c r="N852" t="s">
        <v>612</v>
      </c>
    </row>
    <row r="853" spans="1:14" x14ac:dyDescent="0.25">
      <c r="A853" t="s">
        <v>74</v>
      </c>
      <c r="B853" t="s">
        <v>75</v>
      </c>
      <c r="C853" t="s">
        <v>51</v>
      </c>
      <c r="D853" s="13">
        <v>45611</v>
      </c>
      <c r="E853" t="s">
        <v>414</v>
      </c>
      <c r="F853">
        <v>34192.949999999997</v>
      </c>
      <c r="G853">
        <v>0</v>
      </c>
      <c r="H853">
        <v>106552.87</v>
      </c>
      <c r="I853">
        <v>27666.12</v>
      </c>
      <c r="J853">
        <v>5</v>
      </c>
      <c r="K853">
        <v>0</v>
      </c>
      <c r="L853" t="s">
        <v>112</v>
      </c>
      <c r="M853" t="s">
        <v>105</v>
      </c>
      <c r="N853" t="s">
        <v>612</v>
      </c>
    </row>
    <row r="854" spans="1:14" x14ac:dyDescent="0.25">
      <c r="A854" t="s">
        <v>78</v>
      </c>
      <c r="B854" t="s">
        <v>79</v>
      </c>
      <c r="C854" t="s">
        <v>137</v>
      </c>
      <c r="D854" s="13">
        <v>45611</v>
      </c>
      <c r="E854" t="s">
        <v>414</v>
      </c>
      <c r="F854">
        <v>8758.1200000000008</v>
      </c>
      <c r="G854">
        <v>0</v>
      </c>
      <c r="H854">
        <v>43179.38</v>
      </c>
      <c r="I854">
        <v>10446.48</v>
      </c>
      <c r="J854">
        <v>2</v>
      </c>
      <c r="K854">
        <v>0</v>
      </c>
      <c r="L854" t="s">
        <v>30</v>
      </c>
      <c r="M854" t="s">
        <v>611</v>
      </c>
      <c r="N854" t="s">
        <v>612</v>
      </c>
    </row>
    <row r="855" spans="1:14" x14ac:dyDescent="0.25">
      <c r="A855" t="s">
        <v>82</v>
      </c>
      <c r="B855" t="s">
        <v>83</v>
      </c>
      <c r="C855" t="s">
        <v>137</v>
      </c>
      <c r="D855" s="13">
        <v>45611</v>
      </c>
      <c r="E855" t="s">
        <v>414</v>
      </c>
      <c r="F855">
        <v>30861.08</v>
      </c>
      <c r="G855">
        <v>0</v>
      </c>
      <c r="H855">
        <v>131541.74</v>
      </c>
      <c r="I855">
        <v>35179.11</v>
      </c>
      <c r="J855">
        <v>4</v>
      </c>
      <c r="K855">
        <v>0</v>
      </c>
      <c r="L855" t="s">
        <v>30</v>
      </c>
      <c r="M855" t="s">
        <v>26</v>
      </c>
      <c r="N855" t="s">
        <v>612</v>
      </c>
    </row>
    <row r="856" spans="1:14" x14ac:dyDescent="0.25">
      <c r="A856" t="s">
        <v>84</v>
      </c>
      <c r="B856" t="s">
        <v>85</v>
      </c>
      <c r="C856" t="s">
        <v>137</v>
      </c>
      <c r="D856" s="13">
        <v>45611</v>
      </c>
      <c r="E856" t="s">
        <v>414</v>
      </c>
      <c r="F856">
        <v>31090.01</v>
      </c>
      <c r="G856">
        <v>0</v>
      </c>
      <c r="H856">
        <v>86234.43</v>
      </c>
      <c r="I856">
        <v>27765.87</v>
      </c>
      <c r="J856">
        <v>4</v>
      </c>
      <c r="K856">
        <v>0</v>
      </c>
      <c r="L856" t="s">
        <v>112</v>
      </c>
      <c r="M856" t="s">
        <v>611</v>
      </c>
      <c r="N856" t="s">
        <v>612</v>
      </c>
    </row>
    <row r="857" spans="1:14" x14ac:dyDescent="0.25">
      <c r="A857" t="s">
        <v>87</v>
      </c>
      <c r="B857" t="s">
        <v>88</v>
      </c>
      <c r="C857" t="s">
        <v>137</v>
      </c>
      <c r="D857" s="13">
        <v>45611</v>
      </c>
      <c r="E857" t="s">
        <v>414</v>
      </c>
      <c r="F857">
        <v>10496.83</v>
      </c>
      <c r="G857">
        <v>0</v>
      </c>
      <c r="H857">
        <v>33515.949999999997</v>
      </c>
      <c r="I857">
        <v>8946.57</v>
      </c>
      <c r="J857">
        <v>2</v>
      </c>
      <c r="K857">
        <v>0</v>
      </c>
      <c r="L857" t="s">
        <v>30</v>
      </c>
      <c r="M857" t="s">
        <v>611</v>
      </c>
      <c r="N857" t="s">
        <v>612</v>
      </c>
    </row>
    <row r="858" spans="1:14" x14ac:dyDescent="0.25">
      <c r="A858" t="s">
        <v>93</v>
      </c>
      <c r="B858" t="s">
        <v>94</v>
      </c>
      <c r="C858" t="s">
        <v>137</v>
      </c>
      <c r="D858" s="13">
        <v>45611</v>
      </c>
      <c r="E858" t="s">
        <v>414</v>
      </c>
      <c r="F858">
        <v>15870.59</v>
      </c>
      <c r="G858">
        <v>0</v>
      </c>
      <c r="H858">
        <v>67465.97</v>
      </c>
      <c r="I858">
        <v>17494.87</v>
      </c>
      <c r="J858">
        <v>12</v>
      </c>
      <c r="K858">
        <v>0</v>
      </c>
      <c r="L858" t="s">
        <v>30</v>
      </c>
      <c r="M858" t="s">
        <v>115</v>
      </c>
      <c r="N858" t="s">
        <v>612</v>
      </c>
    </row>
    <row r="859" spans="1:14" x14ac:dyDescent="0.25">
      <c r="A859" t="s">
        <v>96</v>
      </c>
      <c r="B859" t="s">
        <v>97</v>
      </c>
      <c r="C859" t="s">
        <v>137</v>
      </c>
      <c r="D859" s="13">
        <v>45611</v>
      </c>
      <c r="E859" t="s">
        <v>414</v>
      </c>
      <c r="F859">
        <v>27520.98</v>
      </c>
      <c r="G859">
        <v>0</v>
      </c>
      <c r="H859">
        <v>132481.24</v>
      </c>
      <c r="I859">
        <v>44846.01</v>
      </c>
      <c r="J859">
        <v>5</v>
      </c>
      <c r="K859">
        <v>0</v>
      </c>
      <c r="L859" t="s">
        <v>112</v>
      </c>
      <c r="M859" t="s">
        <v>125</v>
      </c>
      <c r="N859" t="s">
        <v>612</v>
      </c>
    </row>
    <row r="860" spans="1:14" x14ac:dyDescent="0.25">
      <c r="A860" t="s">
        <v>14</v>
      </c>
      <c r="B860" t="s">
        <v>15</v>
      </c>
      <c r="C860" t="s">
        <v>16</v>
      </c>
      <c r="D860" s="13">
        <v>45618</v>
      </c>
      <c r="E860" t="s">
        <v>414</v>
      </c>
      <c r="F860">
        <v>202762.15</v>
      </c>
      <c r="G860">
        <v>0</v>
      </c>
      <c r="H860">
        <v>9005952</v>
      </c>
      <c r="I860">
        <v>279130.83</v>
      </c>
      <c r="J860">
        <v>3</v>
      </c>
      <c r="K860">
        <v>0</v>
      </c>
      <c r="L860" t="s">
        <v>30</v>
      </c>
      <c r="M860" t="s">
        <v>43</v>
      </c>
      <c r="N860" t="s">
        <v>612</v>
      </c>
    </row>
    <row r="861" spans="1:14" x14ac:dyDescent="0.25">
      <c r="A861" t="s">
        <v>21</v>
      </c>
      <c r="B861" t="s">
        <v>22</v>
      </c>
      <c r="C861" t="s">
        <v>16</v>
      </c>
      <c r="D861" s="13">
        <v>45618</v>
      </c>
      <c r="E861" t="s">
        <v>414</v>
      </c>
      <c r="F861">
        <v>95150.06</v>
      </c>
      <c r="G861">
        <v>0</v>
      </c>
      <c r="H861">
        <v>439325.22</v>
      </c>
      <c r="I861">
        <v>105216.55</v>
      </c>
      <c r="J861">
        <v>4</v>
      </c>
      <c r="K861">
        <v>0</v>
      </c>
      <c r="L861" t="s">
        <v>30</v>
      </c>
      <c r="M861" t="s">
        <v>611</v>
      </c>
      <c r="N861" t="s">
        <v>612</v>
      </c>
    </row>
    <row r="862" spans="1:14" x14ac:dyDescent="0.25">
      <c r="A862" t="s">
        <v>27</v>
      </c>
      <c r="B862" t="s">
        <v>28</v>
      </c>
      <c r="C862" t="s">
        <v>16</v>
      </c>
      <c r="D862" s="13">
        <v>45618</v>
      </c>
      <c r="E862" t="s">
        <v>414</v>
      </c>
      <c r="F862">
        <v>188690.82</v>
      </c>
      <c r="G862">
        <v>0</v>
      </c>
      <c r="H862">
        <v>685765</v>
      </c>
      <c r="I862">
        <v>145676.26</v>
      </c>
      <c r="J862">
        <v>3</v>
      </c>
      <c r="K862">
        <v>0</v>
      </c>
      <c r="L862" t="s">
        <v>30</v>
      </c>
      <c r="M862" t="s">
        <v>43</v>
      </c>
      <c r="N862" t="s">
        <v>612</v>
      </c>
    </row>
    <row r="863" spans="1:14" x14ac:dyDescent="0.25">
      <c r="A863" t="s">
        <v>39</v>
      </c>
      <c r="B863" t="s">
        <v>40</v>
      </c>
      <c r="C863" t="s">
        <v>16</v>
      </c>
      <c r="D863" s="13">
        <v>45618</v>
      </c>
      <c r="E863" t="s">
        <v>414</v>
      </c>
      <c r="F863">
        <v>210225.93</v>
      </c>
      <c r="G863">
        <v>0</v>
      </c>
      <c r="H863">
        <v>715726.05</v>
      </c>
      <c r="I863">
        <v>156913.74</v>
      </c>
      <c r="J863">
        <v>4</v>
      </c>
      <c r="K863">
        <v>0</v>
      </c>
      <c r="L863" t="s">
        <v>30</v>
      </c>
      <c r="M863" t="s">
        <v>105</v>
      </c>
      <c r="N863" t="s">
        <v>612</v>
      </c>
    </row>
    <row r="864" spans="1:14" x14ac:dyDescent="0.25">
      <c r="A864" t="s">
        <v>44</v>
      </c>
      <c r="B864" t="s">
        <v>45</v>
      </c>
      <c r="C864" t="s">
        <v>16</v>
      </c>
      <c r="D864" s="13">
        <v>45618</v>
      </c>
      <c r="E864" t="s">
        <v>414</v>
      </c>
      <c r="F864">
        <v>2060401</v>
      </c>
      <c r="G864">
        <v>0</v>
      </c>
      <c r="H864">
        <v>974528.79</v>
      </c>
      <c r="I864">
        <v>228335.97</v>
      </c>
      <c r="J864">
        <v>2</v>
      </c>
      <c r="K864">
        <v>0</v>
      </c>
      <c r="L864" t="s">
        <v>30</v>
      </c>
      <c r="M864" t="s">
        <v>611</v>
      </c>
      <c r="N864" t="s">
        <v>612</v>
      </c>
    </row>
    <row r="865" spans="1:14" x14ac:dyDescent="0.25">
      <c r="A865" t="s">
        <v>49</v>
      </c>
      <c r="B865" t="s">
        <v>50</v>
      </c>
      <c r="C865" t="s">
        <v>51</v>
      </c>
      <c r="D865" s="13">
        <v>45618</v>
      </c>
      <c r="E865" t="s">
        <v>414</v>
      </c>
      <c r="F865">
        <v>66323.740000000005</v>
      </c>
      <c r="G865">
        <v>0</v>
      </c>
      <c r="H865">
        <v>278073.62</v>
      </c>
      <c r="I865">
        <v>67637.2</v>
      </c>
      <c r="J865">
        <v>4</v>
      </c>
      <c r="K865">
        <v>0</v>
      </c>
      <c r="L865" t="s">
        <v>30</v>
      </c>
      <c r="M865" t="s">
        <v>115</v>
      </c>
      <c r="N865" t="s">
        <v>612</v>
      </c>
    </row>
    <row r="866" spans="1:14" x14ac:dyDescent="0.25">
      <c r="A866" t="s">
        <v>55</v>
      </c>
      <c r="B866" t="s">
        <v>56</v>
      </c>
      <c r="C866" t="s">
        <v>51</v>
      </c>
      <c r="D866" s="13">
        <v>45618</v>
      </c>
      <c r="E866" t="s">
        <v>414</v>
      </c>
      <c r="F866">
        <v>77835.539999999994</v>
      </c>
      <c r="G866">
        <v>0</v>
      </c>
      <c r="H866">
        <v>18080</v>
      </c>
      <c r="I866">
        <v>5690.54</v>
      </c>
      <c r="J866">
        <v>5</v>
      </c>
      <c r="K866">
        <v>0</v>
      </c>
      <c r="L866" t="s">
        <v>30</v>
      </c>
      <c r="M866" t="s">
        <v>127</v>
      </c>
      <c r="N866" t="s">
        <v>613</v>
      </c>
    </row>
    <row r="867" spans="1:14" x14ac:dyDescent="0.25">
      <c r="A867" t="s">
        <v>59</v>
      </c>
      <c r="B867" t="s">
        <v>60</v>
      </c>
      <c r="C867" t="s">
        <v>51</v>
      </c>
      <c r="D867" s="13">
        <v>45618</v>
      </c>
      <c r="E867" t="s">
        <v>414</v>
      </c>
      <c r="F867">
        <v>92315.23</v>
      </c>
      <c r="G867">
        <v>0</v>
      </c>
      <c r="H867">
        <v>396907.62</v>
      </c>
      <c r="I867">
        <v>118965.77</v>
      </c>
      <c r="J867">
        <v>4</v>
      </c>
      <c r="K867">
        <v>0</v>
      </c>
      <c r="L867" t="s">
        <v>30</v>
      </c>
      <c r="M867" t="s">
        <v>73</v>
      </c>
      <c r="N867" t="s">
        <v>612</v>
      </c>
    </row>
    <row r="868" spans="1:14" x14ac:dyDescent="0.25">
      <c r="A868" t="s">
        <v>62</v>
      </c>
      <c r="B868" t="s">
        <v>63</v>
      </c>
      <c r="C868" t="s">
        <v>51</v>
      </c>
      <c r="D868" s="13">
        <v>45618</v>
      </c>
      <c r="E868" t="s">
        <v>414</v>
      </c>
      <c r="F868">
        <v>61841.65</v>
      </c>
      <c r="G868">
        <v>0</v>
      </c>
      <c r="H868">
        <v>201021.93</v>
      </c>
      <c r="I868">
        <v>42163.69</v>
      </c>
      <c r="J868">
        <v>6</v>
      </c>
      <c r="K868">
        <v>0</v>
      </c>
      <c r="L868" t="s">
        <v>30</v>
      </c>
      <c r="M868" t="s">
        <v>611</v>
      </c>
      <c r="N868" t="s">
        <v>612</v>
      </c>
    </row>
    <row r="869" spans="1:14" x14ac:dyDescent="0.25">
      <c r="A869" t="s">
        <v>66</v>
      </c>
      <c r="B869" t="s">
        <v>67</v>
      </c>
      <c r="C869" t="s">
        <v>51</v>
      </c>
      <c r="D869" s="13">
        <v>45618</v>
      </c>
      <c r="E869" t="s">
        <v>414</v>
      </c>
      <c r="F869">
        <v>31781.040000000001</v>
      </c>
      <c r="G869">
        <v>0</v>
      </c>
      <c r="H869">
        <v>79886.95</v>
      </c>
      <c r="I869">
        <v>23493.040000000001</v>
      </c>
      <c r="J869">
        <v>2</v>
      </c>
      <c r="K869">
        <v>0</v>
      </c>
      <c r="L869" t="s">
        <v>30</v>
      </c>
      <c r="M869" t="s">
        <v>43</v>
      </c>
      <c r="N869" t="s">
        <v>612</v>
      </c>
    </row>
    <row r="870" spans="1:14" x14ac:dyDescent="0.25">
      <c r="A870" t="s">
        <v>68</v>
      </c>
      <c r="B870" t="s">
        <v>69</v>
      </c>
      <c r="C870" t="s">
        <v>51</v>
      </c>
      <c r="D870" s="13">
        <v>45618</v>
      </c>
      <c r="E870" t="s">
        <v>414</v>
      </c>
      <c r="F870">
        <v>58500.2</v>
      </c>
      <c r="G870">
        <v>0</v>
      </c>
      <c r="H870">
        <v>289550.09000000003</v>
      </c>
      <c r="I870">
        <v>73066.75</v>
      </c>
      <c r="J870">
        <v>3</v>
      </c>
      <c r="K870">
        <v>0</v>
      </c>
      <c r="L870" t="s">
        <v>112</v>
      </c>
      <c r="M870" t="s">
        <v>115</v>
      </c>
      <c r="N870" t="s">
        <v>612</v>
      </c>
    </row>
    <row r="871" spans="1:14" x14ac:dyDescent="0.25">
      <c r="A871" t="s">
        <v>78</v>
      </c>
      <c r="B871" t="s">
        <v>79</v>
      </c>
      <c r="C871" t="s">
        <v>137</v>
      </c>
      <c r="D871" s="13">
        <v>45618</v>
      </c>
      <c r="E871" t="s">
        <v>414</v>
      </c>
      <c r="F871">
        <v>23810.240000000002</v>
      </c>
      <c r="G871">
        <v>0</v>
      </c>
      <c r="H871">
        <v>115567.58</v>
      </c>
      <c r="I871">
        <v>34847.49</v>
      </c>
      <c r="J871">
        <v>12</v>
      </c>
      <c r="K871">
        <v>0</v>
      </c>
      <c r="L871" t="s">
        <v>30</v>
      </c>
      <c r="M871" t="s">
        <v>611</v>
      </c>
      <c r="N871" t="s">
        <v>612</v>
      </c>
    </row>
    <row r="872" spans="1:14" x14ac:dyDescent="0.25">
      <c r="A872" t="s">
        <v>82</v>
      </c>
      <c r="B872" t="s">
        <v>83</v>
      </c>
      <c r="C872" t="s">
        <v>137</v>
      </c>
      <c r="D872" s="13">
        <v>45618</v>
      </c>
      <c r="E872" t="s">
        <v>414</v>
      </c>
      <c r="F872">
        <v>41229.64</v>
      </c>
      <c r="G872">
        <v>0</v>
      </c>
      <c r="H872">
        <v>198856.86</v>
      </c>
      <c r="I872">
        <v>56284.160000000003</v>
      </c>
      <c r="J872">
        <v>9</v>
      </c>
      <c r="K872">
        <v>0</v>
      </c>
      <c r="L872" t="s">
        <v>30</v>
      </c>
      <c r="M872" t="s">
        <v>127</v>
      </c>
      <c r="N872" t="s">
        <v>612</v>
      </c>
    </row>
    <row r="873" spans="1:14" x14ac:dyDescent="0.25">
      <c r="A873" t="s">
        <v>84</v>
      </c>
      <c r="B873" t="s">
        <v>85</v>
      </c>
      <c r="C873" t="s">
        <v>137</v>
      </c>
      <c r="D873" s="13">
        <v>45618</v>
      </c>
      <c r="E873" t="s">
        <v>414</v>
      </c>
      <c r="F873">
        <v>18314.11</v>
      </c>
      <c r="G873">
        <v>0</v>
      </c>
      <c r="H873">
        <v>55687.87</v>
      </c>
      <c r="I873">
        <v>10488.68</v>
      </c>
      <c r="J873">
        <v>9</v>
      </c>
      <c r="K873">
        <v>0</v>
      </c>
      <c r="L873" t="s">
        <v>112</v>
      </c>
      <c r="M873" t="s">
        <v>73</v>
      </c>
      <c r="N873" t="s">
        <v>612</v>
      </c>
    </row>
    <row r="874" spans="1:14" x14ac:dyDescent="0.25">
      <c r="A874" t="s">
        <v>87</v>
      </c>
      <c r="B874" t="s">
        <v>88</v>
      </c>
      <c r="C874" t="s">
        <v>137</v>
      </c>
      <c r="D874" s="13">
        <v>45618</v>
      </c>
      <c r="E874" t="s">
        <v>414</v>
      </c>
      <c r="F874">
        <v>32623.18</v>
      </c>
      <c r="G874">
        <v>0</v>
      </c>
      <c r="H874">
        <v>6273.35</v>
      </c>
      <c r="I874">
        <v>2100.83</v>
      </c>
      <c r="J874">
        <v>4</v>
      </c>
      <c r="K874">
        <v>0</v>
      </c>
      <c r="L874" t="s">
        <v>112</v>
      </c>
      <c r="M874" t="s">
        <v>127</v>
      </c>
      <c r="N874" t="s">
        <v>613</v>
      </c>
    </row>
    <row r="875" spans="1:14" x14ac:dyDescent="0.25">
      <c r="A875" t="s">
        <v>90</v>
      </c>
      <c r="B875" t="s">
        <v>91</v>
      </c>
      <c r="C875" t="s">
        <v>137</v>
      </c>
      <c r="D875" s="13">
        <v>45618</v>
      </c>
      <c r="E875" t="s">
        <v>414</v>
      </c>
      <c r="F875">
        <v>9482.91</v>
      </c>
      <c r="G875">
        <v>0</v>
      </c>
      <c r="H875">
        <v>1997.57</v>
      </c>
      <c r="I875">
        <v>572.75</v>
      </c>
      <c r="J875">
        <v>3</v>
      </c>
      <c r="K875">
        <v>0</v>
      </c>
      <c r="L875" t="s">
        <v>30</v>
      </c>
      <c r="M875" t="s">
        <v>611</v>
      </c>
      <c r="N875" t="s">
        <v>613</v>
      </c>
    </row>
    <row r="876" spans="1:14" x14ac:dyDescent="0.25">
      <c r="A876" t="s">
        <v>93</v>
      </c>
      <c r="B876" t="s">
        <v>94</v>
      </c>
      <c r="C876" t="s">
        <v>137</v>
      </c>
      <c r="D876" s="13">
        <v>45618</v>
      </c>
      <c r="E876" t="s">
        <v>414</v>
      </c>
      <c r="F876">
        <v>16713.02</v>
      </c>
      <c r="G876">
        <v>0</v>
      </c>
      <c r="H876">
        <v>72323.77</v>
      </c>
      <c r="I876">
        <v>20714.490000000002</v>
      </c>
      <c r="J876">
        <v>6</v>
      </c>
      <c r="K876">
        <v>0</v>
      </c>
      <c r="L876" t="s">
        <v>112</v>
      </c>
      <c r="M876" t="s">
        <v>611</v>
      </c>
      <c r="N876" t="s">
        <v>612</v>
      </c>
    </row>
    <row r="877" spans="1:14" x14ac:dyDescent="0.25">
      <c r="A877" t="s">
        <v>96</v>
      </c>
      <c r="B877" t="s">
        <v>97</v>
      </c>
      <c r="C877" t="s">
        <v>137</v>
      </c>
      <c r="D877" s="13">
        <v>45618</v>
      </c>
      <c r="E877" t="s">
        <v>414</v>
      </c>
      <c r="F877">
        <v>27911.03</v>
      </c>
      <c r="G877">
        <v>0</v>
      </c>
      <c r="H877">
        <v>138358.89000000001</v>
      </c>
      <c r="I877">
        <v>33696.74</v>
      </c>
      <c r="J877">
        <v>2</v>
      </c>
      <c r="K877">
        <v>0</v>
      </c>
      <c r="L877" t="s">
        <v>30</v>
      </c>
      <c r="M877" t="s">
        <v>101</v>
      </c>
      <c r="N877" t="s">
        <v>612</v>
      </c>
    </row>
    <row r="878" spans="1:14" x14ac:dyDescent="0.25">
      <c r="A878" t="s">
        <v>14</v>
      </c>
      <c r="B878" t="s">
        <v>15</v>
      </c>
      <c r="C878" t="s">
        <v>16</v>
      </c>
      <c r="D878" s="13">
        <v>45625</v>
      </c>
      <c r="E878" t="s">
        <v>414</v>
      </c>
      <c r="F878">
        <v>91917.92</v>
      </c>
      <c r="G878">
        <v>0</v>
      </c>
      <c r="H878">
        <v>250821.89</v>
      </c>
      <c r="I878">
        <v>48731.06</v>
      </c>
      <c r="J878">
        <v>2</v>
      </c>
      <c r="K878">
        <v>0</v>
      </c>
      <c r="L878" t="s">
        <v>30</v>
      </c>
      <c r="M878" t="s">
        <v>611</v>
      </c>
      <c r="N878" t="s">
        <v>612</v>
      </c>
    </row>
    <row r="879" spans="1:14" x14ac:dyDescent="0.25">
      <c r="A879" t="s">
        <v>21</v>
      </c>
      <c r="B879" t="s">
        <v>22</v>
      </c>
      <c r="C879" t="s">
        <v>16</v>
      </c>
      <c r="D879" s="13">
        <v>45625</v>
      </c>
      <c r="E879" t="s">
        <v>414</v>
      </c>
      <c r="F879">
        <v>165402.76</v>
      </c>
      <c r="G879">
        <v>0</v>
      </c>
      <c r="H879">
        <v>523968.86</v>
      </c>
      <c r="I879">
        <v>114742.54</v>
      </c>
      <c r="J879">
        <v>1</v>
      </c>
      <c r="K879">
        <v>0</v>
      </c>
      <c r="L879" t="s">
        <v>30</v>
      </c>
      <c r="M879" t="s">
        <v>73</v>
      </c>
      <c r="N879" t="s">
        <v>612</v>
      </c>
    </row>
    <row r="880" spans="1:14" x14ac:dyDescent="0.25">
      <c r="A880" t="s">
        <v>27</v>
      </c>
      <c r="B880" t="s">
        <v>28</v>
      </c>
      <c r="C880" t="s">
        <v>16</v>
      </c>
      <c r="D880" s="13">
        <v>45625</v>
      </c>
      <c r="E880" t="s">
        <v>414</v>
      </c>
      <c r="F880">
        <v>193187.19</v>
      </c>
      <c r="G880">
        <v>0</v>
      </c>
      <c r="H880">
        <v>591215.92000000004</v>
      </c>
      <c r="I880">
        <v>142002.51999999999</v>
      </c>
      <c r="J880">
        <v>4</v>
      </c>
      <c r="K880">
        <v>0</v>
      </c>
      <c r="L880" t="s">
        <v>30</v>
      </c>
      <c r="M880" t="s">
        <v>611</v>
      </c>
      <c r="N880" t="s">
        <v>612</v>
      </c>
    </row>
    <row r="881" spans="1:14" x14ac:dyDescent="0.25">
      <c r="A881" t="s">
        <v>32</v>
      </c>
      <c r="B881" t="s">
        <v>33</v>
      </c>
      <c r="C881" t="s">
        <v>16</v>
      </c>
      <c r="D881" s="13">
        <v>45625</v>
      </c>
      <c r="E881" t="s">
        <v>414</v>
      </c>
      <c r="F881">
        <v>114811.69</v>
      </c>
      <c r="G881">
        <v>0</v>
      </c>
      <c r="H881">
        <v>16143.9</v>
      </c>
      <c r="I881">
        <v>3763.25</v>
      </c>
      <c r="J881">
        <v>1</v>
      </c>
      <c r="K881">
        <v>0</v>
      </c>
      <c r="L881" t="s">
        <v>30</v>
      </c>
      <c r="M881" t="s">
        <v>611</v>
      </c>
      <c r="N881" t="s">
        <v>613</v>
      </c>
    </row>
    <row r="882" spans="1:14" x14ac:dyDescent="0.25">
      <c r="A882" t="s">
        <v>39</v>
      </c>
      <c r="B882" t="s">
        <v>40</v>
      </c>
      <c r="C882" t="s">
        <v>16</v>
      </c>
      <c r="D882" s="13">
        <v>45625</v>
      </c>
      <c r="E882" t="s">
        <v>414</v>
      </c>
      <c r="F882">
        <v>156539.67000000001</v>
      </c>
      <c r="G882">
        <v>0</v>
      </c>
      <c r="H882">
        <v>770042.59</v>
      </c>
      <c r="I882">
        <v>240540.59</v>
      </c>
      <c r="J882">
        <v>3</v>
      </c>
      <c r="K882">
        <v>0</v>
      </c>
      <c r="L882" t="s">
        <v>30</v>
      </c>
      <c r="M882" t="s">
        <v>611</v>
      </c>
      <c r="N882" t="s">
        <v>612</v>
      </c>
    </row>
    <row r="883" spans="1:14" x14ac:dyDescent="0.25">
      <c r="A883" t="s">
        <v>44</v>
      </c>
      <c r="B883" t="s">
        <v>45</v>
      </c>
      <c r="C883" t="s">
        <v>16</v>
      </c>
      <c r="D883" s="13">
        <v>45625</v>
      </c>
      <c r="E883" t="s">
        <v>414</v>
      </c>
      <c r="F883">
        <v>160605.03</v>
      </c>
      <c r="G883">
        <v>0</v>
      </c>
      <c r="H883">
        <v>651750.91</v>
      </c>
      <c r="I883">
        <v>150543.35</v>
      </c>
      <c r="J883">
        <v>2</v>
      </c>
      <c r="K883">
        <v>0</v>
      </c>
      <c r="L883" t="s">
        <v>112</v>
      </c>
      <c r="M883" t="s">
        <v>101</v>
      </c>
      <c r="N883" t="s">
        <v>612</v>
      </c>
    </row>
    <row r="884" spans="1:14" x14ac:dyDescent="0.25">
      <c r="A884" t="s">
        <v>49</v>
      </c>
      <c r="B884" t="s">
        <v>50</v>
      </c>
      <c r="C884" t="s">
        <v>51</v>
      </c>
      <c r="D884" s="13">
        <v>45625</v>
      </c>
      <c r="E884" t="s">
        <v>414</v>
      </c>
      <c r="F884">
        <v>256556</v>
      </c>
      <c r="G884">
        <v>0</v>
      </c>
      <c r="H884">
        <v>89079.92</v>
      </c>
      <c r="I884">
        <v>16697.54</v>
      </c>
      <c r="J884">
        <v>3</v>
      </c>
      <c r="K884">
        <v>0</v>
      </c>
      <c r="L884" t="s">
        <v>30</v>
      </c>
      <c r="M884" t="s">
        <v>611</v>
      </c>
      <c r="N884" t="s">
        <v>612</v>
      </c>
    </row>
    <row r="885" spans="1:14" x14ac:dyDescent="0.25">
      <c r="A885" t="s">
        <v>55</v>
      </c>
      <c r="B885" t="s">
        <v>56</v>
      </c>
      <c r="C885" t="s">
        <v>51</v>
      </c>
      <c r="D885" s="13">
        <v>45625</v>
      </c>
      <c r="E885" t="s">
        <v>414</v>
      </c>
      <c r="F885">
        <v>37474.160000000003</v>
      </c>
      <c r="G885">
        <v>0</v>
      </c>
      <c r="H885">
        <v>3322.07</v>
      </c>
      <c r="I885">
        <v>761.27</v>
      </c>
      <c r="J885">
        <v>1</v>
      </c>
      <c r="K885">
        <v>0</v>
      </c>
      <c r="L885" t="s">
        <v>30</v>
      </c>
      <c r="M885" t="s">
        <v>43</v>
      </c>
      <c r="N885" t="s">
        <v>613</v>
      </c>
    </row>
    <row r="886" spans="1:14" x14ac:dyDescent="0.25">
      <c r="A886" t="s">
        <v>59</v>
      </c>
      <c r="B886" t="s">
        <v>60</v>
      </c>
      <c r="C886" t="s">
        <v>51</v>
      </c>
      <c r="D886" s="13">
        <v>45625</v>
      </c>
      <c r="E886" t="s">
        <v>414</v>
      </c>
      <c r="F886">
        <v>88964.5</v>
      </c>
      <c r="G886">
        <v>0</v>
      </c>
      <c r="H886">
        <v>342745.03</v>
      </c>
      <c r="I886">
        <v>61860.26</v>
      </c>
      <c r="J886">
        <v>4</v>
      </c>
      <c r="K886">
        <v>0</v>
      </c>
      <c r="L886" t="s">
        <v>30</v>
      </c>
      <c r="M886" t="s">
        <v>611</v>
      </c>
      <c r="N886" t="s">
        <v>612</v>
      </c>
    </row>
    <row r="887" spans="1:14" x14ac:dyDescent="0.25">
      <c r="A887" t="s">
        <v>62</v>
      </c>
      <c r="B887" t="s">
        <v>63</v>
      </c>
      <c r="C887" t="s">
        <v>51</v>
      </c>
      <c r="D887" s="13">
        <v>45625</v>
      </c>
      <c r="E887" t="s">
        <v>414</v>
      </c>
      <c r="F887">
        <v>85147</v>
      </c>
      <c r="G887">
        <v>0</v>
      </c>
      <c r="H887">
        <v>414492.4</v>
      </c>
      <c r="I887">
        <v>118047.27</v>
      </c>
      <c r="J887">
        <v>5</v>
      </c>
      <c r="K887">
        <v>0</v>
      </c>
      <c r="L887" t="s">
        <v>30</v>
      </c>
      <c r="M887" t="s">
        <v>26</v>
      </c>
      <c r="N887" t="s">
        <v>612</v>
      </c>
    </row>
    <row r="888" spans="1:14" x14ac:dyDescent="0.25">
      <c r="A888" t="s">
        <v>66</v>
      </c>
      <c r="B888" t="s">
        <v>67</v>
      </c>
      <c r="C888" t="s">
        <v>51</v>
      </c>
      <c r="D888" s="13">
        <v>45625</v>
      </c>
      <c r="E888" t="s">
        <v>414</v>
      </c>
      <c r="F888">
        <v>65301.13</v>
      </c>
      <c r="G888">
        <v>0</v>
      </c>
      <c r="H888">
        <v>4886.05</v>
      </c>
      <c r="I888">
        <v>991.43</v>
      </c>
      <c r="J888">
        <v>5</v>
      </c>
      <c r="K888">
        <v>0</v>
      </c>
      <c r="L888" t="s">
        <v>30</v>
      </c>
      <c r="M888" t="s">
        <v>611</v>
      </c>
      <c r="N888" t="s">
        <v>613</v>
      </c>
    </row>
    <row r="889" spans="1:14" x14ac:dyDescent="0.25">
      <c r="A889" t="s">
        <v>68</v>
      </c>
      <c r="B889" t="s">
        <v>69</v>
      </c>
      <c r="C889" t="s">
        <v>51</v>
      </c>
      <c r="D889" s="13">
        <v>45625</v>
      </c>
      <c r="E889" t="s">
        <v>414</v>
      </c>
      <c r="F889">
        <v>70965.960000000006</v>
      </c>
      <c r="G889">
        <v>0</v>
      </c>
      <c r="H889">
        <v>325117.08</v>
      </c>
      <c r="I889">
        <v>101150.33</v>
      </c>
      <c r="J889">
        <v>4</v>
      </c>
      <c r="K889">
        <v>0</v>
      </c>
      <c r="L889" t="s">
        <v>30</v>
      </c>
      <c r="M889" t="s">
        <v>611</v>
      </c>
      <c r="N889" t="s">
        <v>612</v>
      </c>
    </row>
    <row r="890" spans="1:14" x14ac:dyDescent="0.25">
      <c r="A890" t="s">
        <v>82</v>
      </c>
      <c r="B890" t="s">
        <v>83</v>
      </c>
      <c r="C890" t="s">
        <v>137</v>
      </c>
      <c r="D890" s="13">
        <v>45625</v>
      </c>
      <c r="E890" t="s">
        <v>414</v>
      </c>
      <c r="F890">
        <v>31191.86</v>
      </c>
      <c r="G890">
        <v>0</v>
      </c>
      <c r="H890">
        <v>7302.07</v>
      </c>
      <c r="I890">
        <v>2554.04</v>
      </c>
      <c r="J890">
        <v>12</v>
      </c>
      <c r="K890">
        <v>0</v>
      </c>
      <c r="L890" t="s">
        <v>30</v>
      </c>
      <c r="M890" t="s">
        <v>73</v>
      </c>
      <c r="N890" t="s">
        <v>613</v>
      </c>
    </row>
    <row r="891" spans="1:14" x14ac:dyDescent="0.25">
      <c r="A891" t="s">
        <v>84</v>
      </c>
      <c r="B891" t="s">
        <v>85</v>
      </c>
      <c r="C891" t="s">
        <v>137</v>
      </c>
      <c r="D891" s="13">
        <v>45625</v>
      </c>
      <c r="E891" t="s">
        <v>414</v>
      </c>
      <c r="F891">
        <v>31359.82</v>
      </c>
      <c r="G891">
        <v>0</v>
      </c>
      <c r="H891">
        <v>113138.07</v>
      </c>
      <c r="I891">
        <v>20926.169999999998</v>
      </c>
      <c r="J891">
        <v>9</v>
      </c>
      <c r="K891">
        <v>0</v>
      </c>
      <c r="L891" t="s">
        <v>112</v>
      </c>
      <c r="M891" t="s">
        <v>611</v>
      </c>
      <c r="N891" t="s">
        <v>612</v>
      </c>
    </row>
    <row r="892" spans="1:14" x14ac:dyDescent="0.25">
      <c r="A892" t="s">
        <v>87</v>
      </c>
      <c r="B892" t="s">
        <v>88</v>
      </c>
      <c r="C892" t="s">
        <v>137</v>
      </c>
      <c r="D892" s="13">
        <v>45625</v>
      </c>
      <c r="E892" t="s">
        <v>414</v>
      </c>
      <c r="F892">
        <v>18919.79</v>
      </c>
      <c r="G892">
        <v>0</v>
      </c>
      <c r="H892">
        <v>534286</v>
      </c>
      <c r="I892">
        <v>16632.82</v>
      </c>
      <c r="J892">
        <v>7</v>
      </c>
      <c r="K892">
        <v>0</v>
      </c>
      <c r="L892" t="s">
        <v>30</v>
      </c>
      <c r="M892" t="s">
        <v>125</v>
      </c>
      <c r="N892" t="s">
        <v>612</v>
      </c>
    </row>
    <row r="893" spans="1:14" x14ac:dyDescent="0.25">
      <c r="A893" t="s">
        <v>90</v>
      </c>
      <c r="B893" t="s">
        <v>91</v>
      </c>
      <c r="C893" t="s">
        <v>137</v>
      </c>
      <c r="D893" s="13">
        <v>45625</v>
      </c>
      <c r="E893" t="s">
        <v>414</v>
      </c>
      <c r="F893">
        <v>12108.21</v>
      </c>
      <c r="G893">
        <v>0</v>
      </c>
      <c r="H893">
        <v>53337</v>
      </c>
      <c r="I893">
        <v>18344.82</v>
      </c>
      <c r="J893">
        <v>9</v>
      </c>
      <c r="K893">
        <v>0</v>
      </c>
      <c r="L893" t="s">
        <v>30</v>
      </c>
      <c r="M893" t="s">
        <v>31</v>
      </c>
      <c r="N893" t="s">
        <v>612</v>
      </c>
    </row>
    <row r="894" spans="1:14" x14ac:dyDescent="0.25">
      <c r="A894" t="s">
        <v>93</v>
      </c>
      <c r="B894" t="s">
        <v>94</v>
      </c>
      <c r="C894" t="s">
        <v>137</v>
      </c>
      <c r="D894" s="13">
        <v>45625</v>
      </c>
      <c r="E894" t="s">
        <v>414</v>
      </c>
      <c r="F894">
        <v>14947.26</v>
      </c>
      <c r="G894">
        <v>0</v>
      </c>
      <c r="H894">
        <v>73112.490000000005</v>
      </c>
      <c r="I894">
        <v>19586.97</v>
      </c>
      <c r="J894">
        <v>8</v>
      </c>
      <c r="K894">
        <v>0</v>
      </c>
      <c r="L894" t="s">
        <v>112</v>
      </c>
      <c r="M894" t="s">
        <v>43</v>
      </c>
      <c r="N894" t="s">
        <v>612</v>
      </c>
    </row>
    <row r="895" spans="1:14" x14ac:dyDescent="0.25">
      <c r="A895" t="s">
        <v>96</v>
      </c>
      <c r="B895" t="s">
        <v>97</v>
      </c>
      <c r="C895" t="s">
        <v>137</v>
      </c>
      <c r="D895" s="13">
        <v>45625</v>
      </c>
      <c r="E895" t="s">
        <v>414</v>
      </c>
      <c r="F895">
        <v>10136.57</v>
      </c>
      <c r="G895">
        <v>0</v>
      </c>
      <c r="H895">
        <v>47704.68</v>
      </c>
      <c r="I895">
        <v>16134.83</v>
      </c>
      <c r="J895">
        <v>2</v>
      </c>
      <c r="K895">
        <v>0</v>
      </c>
      <c r="L895" t="s">
        <v>112</v>
      </c>
      <c r="M895" t="s">
        <v>127</v>
      </c>
      <c r="N895" t="s">
        <v>612</v>
      </c>
    </row>
    <row r="896" spans="1:14" x14ac:dyDescent="0.25">
      <c r="A896" t="s">
        <v>14</v>
      </c>
      <c r="B896" t="s">
        <v>15</v>
      </c>
      <c r="C896" t="s">
        <v>16</v>
      </c>
      <c r="D896" s="13">
        <v>45632</v>
      </c>
      <c r="E896" t="s">
        <v>414</v>
      </c>
      <c r="F896">
        <v>87485</v>
      </c>
      <c r="G896">
        <v>0</v>
      </c>
      <c r="H896">
        <v>268758.56</v>
      </c>
      <c r="I896">
        <v>70248.84</v>
      </c>
      <c r="J896">
        <v>2</v>
      </c>
      <c r="K896">
        <v>0</v>
      </c>
      <c r="L896" t="s">
        <v>30</v>
      </c>
      <c r="M896" t="s">
        <v>31</v>
      </c>
      <c r="N896" t="s">
        <v>612</v>
      </c>
    </row>
    <row r="897" spans="1:14" x14ac:dyDescent="0.25">
      <c r="A897" t="s">
        <v>21</v>
      </c>
      <c r="B897" t="s">
        <v>22</v>
      </c>
      <c r="C897" t="s">
        <v>16</v>
      </c>
      <c r="D897" s="13">
        <v>45632</v>
      </c>
      <c r="E897" t="s">
        <v>414</v>
      </c>
      <c r="F897">
        <v>76562.62</v>
      </c>
      <c r="G897">
        <v>0</v>
      </c>
      <c r="H897">
        <v>235920.19</v>
      </c>
      <c r="I897">
        <v>52621.3</v>
      </c>
      <c r="J897">
        <v>3</v>
      </c>
      <c r="K897">
        <v>0</v>
      </c>
      <c r="L897" t="s">
        <v>30</v>
      </c>
      <c r="M897" t="s">
        <v>26</v>
      </c>
      <c r="N897" t="s">
        <v>612</v>
      </c>
    </row>
    <row r="898" spans="1:14" x14ac:dyDescent="0.25">
      <c r="A898" t="s">
        <v>27</v>
      </c>
      <c r="B898" t="s">
        <v>28</v>
      </c>
      <c r="C898" t="s">
        <v>16</v>
      </c>
      <c r="D898" s="13">
        <v>45632</v>
      </c>
      <c r="E898" t="s">
        <v>414</v>
      </c>
      <c r="F898">
        <v>212225.01</v>
      </c>
      <c r="G898">
        <v>0</v>
      </c>
      <c r="H898">
        <v>908813.92</v>
      </c>
      <c r="I898">
        <v>282511.77</v>
      </c>
      <c r="J898">
        <v>5</v>
      </c>
      <c r="K898">
        <v>0</v>
      </c>
      <c r="L898" t="s">
        <v>30</v>
      </c>
      <c r="M898" t="s">
        <v>125</v>
      </c>
      <c r="N898" t="s">
        <v>612</v>
      </c>
    </row>
    <row r="899" spans="1:14" x14ac:dyDescent="0.25">
      <c r="A899" t="s">
        <v>32</v>
      </c>
      <c r="B899" t="s">
        <v>33</v>
      </c>
      <c r="C899" t="s">
        <v>16</v>
      </c>
      <c r="D899" s="13">
        <v>45632</v>
      </c>
      <c r="E899" t="s">
        <v>414</v>
      </c>
      <c r="F899">
        <v>84298.71</v>
      </c>
      <c r="G899">
        <v>0</v>
      </c>
      <c r="H899">
        <v>327729.96999999997</v>
      </c>
      <c r="I899">
        <v>68446.97</v>
      </c>
      <c r="J899">
        <v>1</v>
      </c>
      <c r="K899">
        <v>0</v>
      </c>
      <c r="L899" t="s">
        <v>112</v>
      </c>
      <c r="M899" t="s">
        <v>115</v>
      </c>
      <c r="N899" t="s">
        <v>612</v>
      </c>
    </row>
    <row r="900" spans="1:14" x14ac:dyDescent="0.25">
      <c r="A900" t="s">
        <v>39</v>
      </c>
      <c r="B900" t="s">
        <v>40</v>
      </c>
      <c r="C900" t="s">
        <v>16</v>
      </c>
      <c r="D900" s="13">
        <v>45632</v>
      </c>
      <c r="E900" t="s">
        <v>414</v>
      </c>
      <c r="F900">
        <v>180066.15</v>
      </c>
      <c r="G900">
        <v>0</v>
      </c>
      <c r="H900">
        <v>6242015</v>
      </c>
      <c r="I900">
        <v>216228.62</v>
      </c>
      <c r="J900">
        <v>3</v>
      </c>
      <c r="K900">
        <v>0</v>
      </c>
      <c r="L900" t="s">
        <v>30</v>
      </c>
      <c r="M900" t="s">
        <v>26</v>
      </c>
      <c r="N900" t="s">
        <v>612</v>
      </c>
    </row>
    <row r="901" spans="1:14" x14ac:dyDescent="0.25">
      <c r="A901" t="s">
        <v>44</v>
      </c>
      <c r="B901" t="s">
        <v>45</v>
      </c>
      <c r="C901" t="s">
        <v>16</v>
      </c>
      <c r="D901" s="13">
        <v>45632</v>
      </c>
      <c r="E901" t="s">
        <v>414</v>
      </c>
      <c r="F901">
        <v>135487.46</v>
      </c>
      <c r="G901">
        <v>0</v>
      </c>
      <c r="H901">
        <v>435797.37</v>
      </c>
      <c r="I901">
        <v>140865.06</v>
      </c>
      <c r="J901">
        <v>3</v>
      </c>
      <c r="K901">
        <v>0</v>
      </c>
      <c r="L901" t="s">
        <v>112</v>
      </c>
      <c r="M901" t="s">
        <v>611</v>
      </c>
      <c r="N901" t="s">
        <v>612</v>
      </c>
    </row>
    <row r="902" spans="1:14" x14ac:dyDescent="0.25">
      <c r="A902" t="s">
        <v>49</v>
      </c>
      <c r="B902" t="s">
        <v>50</v>
      </c>
      <c r="C902" t="s">
        <v>51</v>
      </c>
      <c r="D902" s="13">
        <v>45632</v>
      </c>
      <c r="E902" t="s">
        <v>414</v>
      </c>
      <c r="F902">
        <v>44170.58</v>
      </c>
      <c r="G902">
        <v>0</v>
      </c>
      <c r="H902">
        <v>122258.99</v>
      </c>
      <c r="I902">
        <v>35535.17</v>
      </c>
      <c r="J902">
        <v>6</v>
      </c>
      <c r="K902">
        <v>0</v>
      </c>
      <c r="L902" t="s">
        <v>30</v>
      </c>
      <c r="M902" t="s">
        <v>611</v>
      </c>
      <c r="N902" t="s">
        <v>612</v>
      </c>
    </row>
    <row r="903" spans="1:14" x14ac:dyDescent="0.25">
      <c r="A903" t="s">
        <v>55</v>
      </c>
      <c r="B903" t="s">
        <v>56</v>
      </c>
      <c r="C903" t="s">
        <v>51</v>
      </c>
      <c r="D903" s="13">
        <v>45632</v>
      </c>
      <c r="E903" t="s">
        <v>414</v>
      </c>
      <c r="F903">
        <v>64073.91</v>
      </c>
      <c r="G903">
        <v>0</v>
      </c>
      <c r="H903">
        <v>254105.26</v>
      </c>
      <c r="I903">
        <v>52434.77</v>
      </c>
      <c r="J903">
        <v>6</v>
      </c>
      <c r="K903">
        <v>0</v>
      </c>
      <c r="L903" t="s">
        <v>30</v>
      </c>
      <c r="M903" t="s">
        <v>31</v>
      </c>
      <c r="N903" t="s">
        <v>612</v>
      </c>
    </row>
    <row r="904" spans="1:14" x14ac:dyDescent="0.25">
      <c r="A904" t="s">
        <v>59</v>
      </c>
      <c r="B904" t="s">
        <v>60</v>
      </c>
      <c r="C904" t="s">
        <v>51</v>
      </c>
      <c r="D904" s="13">
        <v>45632</v>
      </c>
      <c r="E904" t="s">
        <v>414</v>
      </c>
      <c r="F904">
        <v>44187.49</v>
      </c>
      <c r="G904">
        <v>0</v>
      </c>
      <c r="H904">
        <v>193066.1</v>
      </c>
      <c r="I904">
        <v>43043.63</v>
      </c>
      <c r="J904">
        <v>3</v>
      </c>
      <c r="K904">
        <v>0</v>
      </c>
      <c r="L904" t="s">
        <v>30</v>
      </c>
      <c r="M904" t="s">
        <v>611</v>
      </c>
      <c r="N904" t="s">
        <v>612</v>
      </c>
    </row>
    <row r="905" spans="1:14" x14ac:dyDescent="0.25">
      <c r="A905" t="s">
        <v>62</v>
      </c>
      <c r="B905" t="s">
        <v>63</v>
      </c>
      <c r="C905" t="s">
        <v>51</v>
      </c>
      <c r="D905" s="13">
        <v>45632</v>
      </c>
      <c r="E905" t="s">
        <v>414</v>
      </c>
      <c r="F905">
        <v>53513.83</v>
      </c>
      <c r="G905">
        <v>0</v>
      </c>
      <c r="H905">
        <v>260037</v>
      </c>
      <c r="I905">
        <v>90279.46</v>
      </c>
      <c r="J905">
        <v>5</v>
      </c>
      <c r="K905">
        <v>0</v>
      </c>
      <c r="L905" t="s">
        <v>30</v>
      </c>
      <c r="M905" t="s">
        <v>113</v>
      </c>
      <c r="N905" t="s">
        <v>612</v>
      </c>
    </row>
    <row r="906" spans="1:14" x14ac:dyDescent="0.25">
      <c r="A906" t="s">
        <v>68</v>
      </c>
      <c r="B906" t="s">
        <v>69</v>
      </c>
      <c r="C906" t="s">
        <v>51</v>
      </c>
      <c r="D906" s="13">
        <v>45632</v>
      </c>
      <c r="E906" t="s">
        <v>414</v>
      </c>
      <c r="F906">
        <v>53156</v>
      </c>
      <c r="G906">
        <v>0</v>
      </c>
      <c r="H906">
        <v>148122.18</v>
      </c>
      <c r="I906">
        <v>39451.89</v>
      </c>
      <c r="J906">
        <v>6</v>
      </c>
      <c r="K906">
        <v>0</v>
      </c>
      <c r="L906" t="s">
        <v>112</v>
      </c>
      <c r="M906" t="s">
        <v>26</v>
      </c>
      <c r="N906" t="s">
        <v>612</v>
      </c>
    </row>
    <row r="907" spans="1:14" x14ac:dyDescent="0.25">
      <c r="A907" t="s">
        <v>74</v>
      </c>
      <c r="B907" t="s">
        <v>75</v>
      </c>
      <c r="C907" t="s">
        <v>51</v>
      </c>
      <c r="D907" s="13">
        <v>45632</v>
      </c>
      <c r="E907" t="s">
        <v>414</v>
      </c>
      <c r="F907">
        <v>85036.15</v>
      </c>
      <c r="G907">
        <v>0</v>
      </c>
      <c r="H907">
        <v>330159.77</v>
      </c>
      <c r="I907">
        <v>95904.43</v>
      </c>
      <c r="J907">
        <v>6</v>
      </c>
      <c r="K907">
        <v>0</v>
      </c>
      <c r="L907" t="s">
        <v>112</v>
      </c>
      <c r="M907" t="s">
        <v>611</v>
      </c>
      <c r="N907" t="s">
        <v>612</v>
      </c>
    </row>
    <row r="908" spans="1:14" x14ac:dyDescent="0.25">
      <c r="A908" t="s">
        <v>78</v>
      </c>
      <c r="B908" t="s">
        <v>79</v>
      </c>
      <c r="C908" t="s">
        <v>137</v>
      </c>
      <c r="D908" s="13">
        <v>45632</v>
      </c>
      <c r="E908" t="s">
        <v>414</v>
      </c>
      <c r="F908">
        <v>31391.57</v>
      </c>
      <c r="G908">
        <v>0</v>
      </c>
      <c r="H908">
        <v>143777.92000000001</v>
      </c>
      <c r="I908">
        <v>26732.31</v>
      </c>
      <c r="J908">
        <v>5</v>
      </c>
      <c r="K908">
        <v>0</v>
      </c>
      <c r="L908" t="s">
        <v>30</v>
      </c>
      <c r="M908" t="s">
        <v>611</v>
      </c>
      <c r="N908" t="s">
        <v>612</v>
      </c>
    </row>
    <row r="909" spans="1:14" x14ac:dyDescent="0.25">
      <c r="A909" t="s">
        <v>82</v>
      </c>
      <c r="B909" t="s">
        <v>83</v>
      </c>
      <c r="C909" t="s">
        <v>137</v>
      </c>
      <c r="D909" s="13">
        <v>45632</v>
      </c>
      <c r="E909" t="s">
        <v>414</v>
      </c>
      <c r="F909">
        <v>13705.99</v>
      </c>
      <c r="G909">
        <v>0</v>
      </c>
      <c r="H909">
        <v>67585.740000000005</v>
      </c>
      <c r="I909">
        <v>17014.97</v>
      </c>
      <c r="J909">
        <v>3</v>
      </c>
      <c r="K909">
        <v>0</v>
      </c>
      <c r="L909" t="s">
        <v>30</v>
      </c>
      <c r="M909" t="s">
        <v>611</v>
      </c>
      <c r="N909" t="s">
        <v>612</v>
      </c>
    </row>
    <row r="910" spans="1:14" x14ac:dyDescent="0.25">
      <c r="A910" t="s">
        <v>84</v>
      </c>
      <c r="B910" t="s">
        <v>85</v>
      </c>
      <c r="C910" t="s">
        <v>137</v>
      </c>
      <c r="D910" s="13">
        <v>45632</v>
      </c>
      <c r="E910" t="s">
        <v>414</v>
      </c>
      <c r="F910">
        <v>10715.43</v>
      </c>
      <c r="G910">
        <v>0</v>
      </c>
      <c r="H910">
        <v>51498.23</v>
      </c>
      <c r="I910">
        <v>16032.04</v>
      </c>
      <c r="J910">
        <v>9</v>
      </c>
      <c r="K910">
        <v>0</v>
      </c>
      <c r="L910" t="s">
        <v>30</v>
      </c>
      <c r="M910" t="s">
        <v>611</v>
      </c>
      <c r="N910" t="s">
        <v>612</v>
      </c>
    </row>
    <row r="911" spans="1:14" x14ac:dyDescent="0.25">
      <c r="A911" t="s">
        <v>87</v>
      </c>
      <c r="B911" t="s">
        <v>88</v>
      </c>
      <c r="C911" t="s">
        <v>137</v>
      </c>
      <c r="D911" s="13">
        <v>45632</v>
      </c>
      <c r="E911" t="s">
        <v>414</v>
      </c>
      <c r="F911">
        <v>18941.919999999998</v>
      </c>
      <c r="G911">
        <v>0</v>
      </c>
      <c r="H911">
        <v>1833.88</v>
      </c>
      <c r="I911">
        <v>465.23</v>
      </c>
      <c r="J911">
        <v>10</v>
      </c>
      <c r="K911">
        <v>0</v>
      </c>
      <c r="L911" t="s">
        <v>30</v>
      </c>
      <c r="M911" t="s">
        <v>611</v>
      </c>
      <c r="N911" t="s">
        <v>613</v>
      </c>
    </row>
    <row r="912" spans="1:14" x14ac:dyDescent="0.25">
      <c r="A912" t="s">
        <v>90</v>
      </c>
      <c r="B912" t="s">
        <v>91</v>
      </c>
      <c r="C912" t="s">
        <v>137</v>
      </c>
      <c r="D912" s="13">
        <v>45632</v>
      </c>
      <c r="E912" t="s">
        <v>414</v>
      </c>
      <c r="F912">
        <v>19576.37</v>
      </c>
      <c r="G912">
        <v>0</v>
      </c>
      <c r="H912">
        <v>90241.81</v>
      </c>
      <c r="I912">
        <v>30001.31</v>
      </c>
      <c r="J912">
        <v>2</v>
      </c>
      <c r="K912">
        <v>0</v>
      </c>
      <c r="L912" t="s">
        <v>30</v>
      </c>
      <c r="M912" t="s">
        <v>611</v>
      </c>
      <c r="N912" t="s">
        <v>612</v>
      </c>
    </row>
    <row r="913" spans="1:14" x14ac:dyDescent="0.25">
      <c r="A913" t="s">
        <v>93</v>
      </c>
      <c r="B913" t="s">
        <v>94</v>
      </c>
      <c r="C913" t="s">
        <v>137</v>
      </c>
      <c r="D913" s="13">
        <v>45632</v>
      </c>
      <c r="E913" t="s">
        <v>414</v>
      </c>
      <c r="F913">
        <v>39614.120000000003</v>
      </c>
      <c r="G913">
        <v>0</v>
      </c>
      <c r="H913">
        <v>9456.75</v>
      </c>
      <c r="I913">
        <v>3144.79</v>
      </c>
      <c r="J913">
        <v>7</v>
      </c>
      <c r="K913">
        <v>0</v>
      </c>
      <c r="L913" t="s">
        <v>112</v>
      </c>
      <c r="M913" t="s">
        <v>26</v>
      </c>
      <c r="N913" t="s">
        <v>613</v>
      </c>
    </row>
    <row r="914" spans="1:14" x14ac:dyDescent="0.25">
      <c r="A914" t="s">
        <v>96</v>
      </c>
      <c r="B914" t="s">
        <v>97</v>
      </c>
      <c r="C914" t="s">
        <v>137</v>
      </c>
      <c r="D914" s="13">
        <v>45632</v>
      </c>
      <c r="E914" t="s">
        <v>414</v>
      </c>
      <c r="F914">
        <v>11725.18</v>
      </c>
      <c r="G914">
        <v>0</v>
      </c>
      <c r="H914">
        <v>46962.97</v>
      </c>
      <c r="I914">
        <v>9224.34</v>
      </c>
      <c r="J914">
        <v>12</v>
      </c>
      <c r="K914">
        <v>0</v>
      </c>
      <c r="L914" t="s">
        <v>30</v>
      </c>
      <c r="M914" t="s">
        <v>43</v>
      </c>
      <c r="N914" t="s">
        <v>612</v>
      </c>
    </row>
    <row r="915" spans="1:14" x14ac:dyDescent="0.25">
      <c r="A915" t="s">
        <v>14</v>
      </c>
      <c r="B915" t="s">
        <v>15</v>
      </c>
      <c r="C915" t="s">
        <v>16</v>
      </c>
      <c r="D915" s="13">
        <v>45639</v>
      </c>
      <c r="E915" t="s">
        <v>414</v>
      </c>
      <c r="F915">
        <v>146853.91</v>
      </c>
      <c r="G915">
        <v>0</v>
      </c>
      <c r="H915">
        <v>28111.74</v>
      </c>
      <c r="I915">
        <v>9818.58</v>
      </c>
      <c r="J915">
        <v>3</v>
      </c>
      <c r="K915">
        <v>0</v>
      </c>
      <c r="L915" t="s">
        <v>30</v>
      </c>
      <c r="M915" t="s">
        <v>611</v>
      </c>
      <c r="N915" t="s">
        <v>613</v>
      </c>
    </row>
    <row r="916" spans="1:14" x14ac:dyDescent="0.25">
      <c r="A916" t="s">
        <v>21</v>
      </c>
      <c r="B916" t="s">
        <v>22</v>
      </c>
      <c r="C916" t="s">
        <v>16</v>
      </c>
      <c r="D916" s="13">
        <v>45639</v>
      </c>
      <c r="E916" t="s">
        <v>414</v>
      </c>
      <c r="F916">
        <v>111932.75</v>
      </c>
      <c r="G916">
        <v>0</v>
      </c>
      <c r="H916">
        <v>523185.86</v>
      </c>
      <c r="I916">
        <v>94178.87</v>
      </c>
      <c r="J916">
        <v>5</v>
      </c>
      <c r="K916">
        <v>0</v>
      </c>
      <c r="L916" t="s">
        <v>30</v>
      </c>
      <c r="M916" t="s">
        <v>101</v>
      </c>
      <c r="N916" t="s">
        <v>612</v>
      </c>
    </row>
    <row r="917" spans="1:14" x14ac:dyDescent="0.25">
      <c r="A917" t="s">
        <v>27</v>
      </c>
      <c r="B917" t="s">
        <v>28</v>
      </c>
      <c r="C917" t="s">
        <v>16</v>
      </c>
      <c r="D917" s="13">
        <v>45639</v>
      </c>
      <c r="E917" t="s">
        <v>414</v>
      </c>
      <c r="F917">
        <v>118982.46</v>
      </c>
      <c r="G917">
        <v>0</v>
      </c>
      <c r="H917">
        <v>592496.79</v>
      </c>
      <c r="I917">
        <v>199269.83</v>
      </c>
      <c r="J917">
        <v>5</v>
      </c>
      <c r="K917">
        <v>0</v>
      </c>
      <c r="L917" t="s">
        <v>30</v>
      </c>
      <c r="M917" t="s">
        <v>31</v>
      </c>
      <c r="N917" t="s">
        <v>612</v>
      </c>
    </row>
    <row r="918" spans="1:14" x14ac:dyDescent="0.25">
      <c r="A918" t="s">
        <v>32</v>
      </c>
      <c r="B918" t="s">
        <v>33</v>
      </c>
      <c r="C918" t="s">
        <v>16</v>
      </c>
      <c r="D918" s="13">
        <v>45639</v>
      </c>
      <c r="E918" t="s">
        <v>414</v>
      </c>
      <c r="F918">
        <v>113651.87</v>
      </c>
      <c r="G918">
        <v>0</v>
      </c>
      <c r="H918">
        <v>403374.71</v>
      </c>
      <c r="I918">
        <v>136652.57</v>
      </c>
      <c r="J918">
        <v>3</v>
      </c>
      <c r="K918">
        <v>0</v>
      </c>
      <c r="L918" t="s">
        <v>30</v>
      </c>
      <c r="M918" t="s">
        <v>611</v>
      </c>
      <c r="N918" t="s">
        <v>612</v>
      </c>
    </row>
    <row r="919" spans="1:14" x14ac:dyDescent="0.25">
      <c r="A919" t="s">
        <v>39</v>
      </c>
      <c r="B919" t="s">
        <v>40</v>
      </c>
      <c r="C919" t="s">
        <v>16</v>
      </c>
      <c r="D919" s="13">
        <v>45639</v>
      </c>
      <c r="E919" t="s">
        <v>414</v>
      </c>
      <c r="F919">
        <v>95289.02</v>
      </c>
      <c r="G919">
        <v>0</v>
      </c>
      <c r="H919">
        <v>258751.06</v>
      </c>
      <c r="I919">
        <v>50132.51</v>
      </c>
      <c r="J919">
        <v>1</v>
      </c>
      <c r="K919">
        <v>0</v>
      </c>
      <c r="L919" t="s">
        <v>30</v>
      </c>
      <c r="M919" t="s">
        <v>113</v>
      </c>
      <c r="N919" t="s">
        <v>612</v>
      </c>
    </row>
    <row r="920" spans="1:14" x14ac:dyDescent="0.25">
      <c r="A920" t="s">
        <v>49</v>
      </c>
      <c r="B920" t="s">
        <v>50</v>
      </c>
      <c r="C920" t="s">
        <v>51</v>
      </c>
      <c r="D920" s="13">
        <v>45639</v>
      </c>
      <c r="E920" t="s">
        <v>414</v>
      </c>
      <c r="F920">
        <v>61976.09</v>
      </c>
      <c r="G920">
        <v>0</v>
      </c>
      <c r="H920">
        <v>243876.3</v>
      </c>
      <c r="I920">
        <v>73390.67</v>
      </c>
      <c r="J920">
        <v>6</v>
      </c>
      <c r="K920">
        <v>0</v>
      </c>
      <c r="L920" t="s">
        <v>30</v>
      </c>
      <c r="M920" t="s">
        <v>31</v>
      </c>
      <c r="N920" t="s">
        <v>612</v>
      </c>
    </row>
    <row r="921" spans="1:14" x14ac:dyDescent="0.25">
      <c r="A921" t="s">
        <v>55</v>
      </c>
      <c r="B921" t="s">
        <v>56</v>
      </c>
      <c r="C921" t="s">
        <v>51</v>
      </c>
      <c r="D921" s="13">
        <v>45639</v>
      </c>
      <c r="E921" t="s">
        <v>414</v>
      </c>
      <c r="F921">
        <v>58333.04</v>
      </c>
      <c r="G921">
        <v>0</v>
      </c>
      <c r="H921">
        <v>267797.14</v>
      </c>
      <c r="I921">
        <v>76629.850000000006</v>
      </c>
      <c r="J921">
        <v>6</v>
      </c>
      <c r="K921">
        <v>0</v>
      </c>
      <c r="L921" t="s">
        <v>30</v>
      </c>
      <c r="M921" t="s">
        <v>611</v>
      </c>
      <c r="N921" t="s">
        <v>612</v>
      </c>
    </row>
    <row r="922" spans="1:14" x14ac:dyDescent="0.25">
      <c r="A922" t="s">
        <v>62</v>
      </c>
      <c r="B922" t="s">
        <v>63</v>
      </c>
      <c r="C922" t="s">
        <v>51</v>
      </c>
      <c r="D922" s="13">
        <v>45639</v>
      </c>
      <c r="E922" t="s">
        <v>414</v>
      </c>
      <c r="F922">
        <v>63688.82</v>
      </c>
      <c r="G922">
        <v>0</v>
      </c>
      <c r="H922">
        <v>194534.16</v>
      </c>
      <c r="I922">
        <v>50502.29</v>
      </c>
      <c r="J922">
        <v>3</v>
      </c>
      <c r="K922">
        <v>0</v>
      </c>
      <c r="L922" t="s">
        <v>30</v>
      </c>
      <c r="M922" t="s">
        <v>115</v>
      </c>
      <c r="N922" t="s">
        <v>612</v>
      </c>
    </row>
    <row r="923" spans="1:14" x14ac:dyDescent="0.25">
      <c r="A923" t="s">
        <v>66</v>
      </c>
      <c r="B923" t="s">
        <v>67</v>
      </c>
      <c r="C923" t="s">
        <v>51</v>
      </c>
      <c r="D923" s="13">
        <v>45639</v>
      </c>
      <c r="E923" t="s">
        <v>414</v>
      </c>
      <c r="F923">
        <v>46380.51</v>
      </c>
      <c r="G923">
        <v>0</v>
      </c>
      <c r="H923">
        <v>120463.84</v>
      </c>
      <c r="I923">
        <v>25651.4</v>
      </c>
      <c r="J923">
        <v>5</v>
      </c>
      <c r="K923">
        <v>0</v>
      </c>
      <c r="L923" t="s">
        <v>30</v>
      </c>
      <c r="M923" t="s">
        <v>73</v>
      </c>
      <c r="N923" t="s">
        <v>612</v>
      </c>
    </row>
    <row r="924" spans="1:14" x14ac:dyDescent="0.25">
      <c r="A924" t="s">
        <v>68</v>
      </c>
      <c r="B924" t="s">
        <v>69</v>
      </c>
      <c r="C924" t="s">
        <v>51</v>
      </c>
      <c r="D924" s="13">
        <v>45639</v>
      </c>
      <c r="E924" t="s">
        <v>414</v>
      </c>
      <c r="F924">
        <v>38273.980000000003</v>
      </c>
      <c r="G924">
        <v>0</v>
      </c>
      <c r="H924">
        <v>127643.02</v>
      </c>
      <c r="I924">
        <v>32617.48</v>
      </c>
      <c r="J924">
        <v>3</v>
      </c>
      <c r="K924">
        <v>0</v>
      </c>
      <c r="L924" t="s">
        <v>112</v>
      </c>
      <c r="M924" t="s">
        <v>113</v>
      </c>
      <c r="N924" t="s">
        <v>612</v>
      </c>
    </row>
    <row r="925" spans="1:14" x14ac:dyDescent="0.25">
      <c r="A925" t="s">
        <v>74</v>
      </c>
      <c r="B925" t="s">
        <v>75</v>
      </c>
      <c r="C925" t="s">
        <v>51</v>
      </c>
      <c r="D925" s="13">
        <v>45639</v>
      </c>
      <c r="E925" t="s">
        <v>414</v>
      </c>
      <c r="F925">
        <v>62450.53</v>
      </c>
      <c r="G925">
        <v>0</v>
      </c>
      <c r="H925">
        <v>275665.96999999997</v>
      </c>
      <c r="I925">
        <v>72741.460000000006</v>
      </c>
      <c r="J925">
        <v>6</v>
      </c>
      <c r="K925">
        <v>0</v>
      </c>
      <c r="L925" t="s">
        <v>30</v>
      </c>
      <c r="M925" t="s">
        <v>127</v>
      </c>
      <c r="N925" t="s">
        <v>612</v>
      </c>
    </row>
    <row r="926" spans="1:14" x14ac:dyDescent="0.25">
      <c r="A926" t="s">
        <v>78</v>
      </c>
      <c r="B926" t="s">
        <v>79</v>
      </c>
      <c r="C926" t="s">
        <v>137</v>
      </c>
      <c r="D926" s="13">
        <v>45639</v>
      </c>
      <c r="E926" t="s">
        <v>414</v>
      </c>
      <c r="F926">
        <v>26540.31</v>
      </c>
      <c r="G926">
        <v>0</v>
      </c>
      <c r="H926">
        <v>119792.42</v>
      </c>
      <c r="I926">
        <v>30628.7</v>
      </c>
      <c r="J926">
        <v>8</v>
      </c>
      <c r="K926">
        <v>0</v>
      </c>
      <c r="L926" t="s">
        <v>30</v>
      </c>
      <c r="M926" t="s">
        <v>26</v>
      </c>
      <c r="N926" t="s">
        <v>612</v>
      </c>
    </row>
    <row r="927" spans="1:14" x14ac:dyDescent="0.25">
      <c r="A927" t="s">
        <v>82</v>
      </c>
      <c r="B927" t="s">
        <v>83</v>
      </c>
      <c r="C927" t="s">
        <v>137</v>
      </c>
      <c r="D927" s="13">
        <v>45639</v>
      </c>
      <c r="E927" t="s">
        <v>414</v>
      </c>
      <c r="F927">
        <v>47768</v>
      </c>
      <c r="G927">
        <v>0</v>
      </c>
      <c r="H927">
        <v>227031.36</v>
      </c>
      <c r="I927">
        <v>75605.22</v>
      </c>
      <c r="J927">
        <v>7</v>
      </c>
      <c r="K927">
        <v>0</v>
      </c>
      <c r="L927" t="s">
        <v>30</v>
      </c>
      <c r="M927" t="s">
        <v>611</v>
      </c>
      <c r="N927" t="s">
        <v>612</v>
      </c>
    </row>
    <row r="928" spans="1:14" x14ac:dyDescent="0.25">
      <c r="A928" t="s">
        <v>84</v>
      </c>
      <c r="B928" t="s">
        <v>85</v>
      </c>
      <c r="C928" t="s">
        <v>137</v>
      </c>
      <c r="D928" s="13">
        <v>45639</v>
      </c>
      <c r="E928" t="s">
        <v>414</v>
      </c>
      <c r="F928">
        <v>25676.26</v>
      </c>
      <c r="G928">
        <v>0</v>
      </c>
      <c r="H928">
        <v>80856.45</v>
      </c>
      <c r="I928">
        <v>23043.93</v>
      </c>
      <c r="J928">
        <v>2</v>
      </c>
      <c r="K928">
        <v>0</v>
      </c>
      <c r="L928" t="s">
        <v>30</v>
      </c>
      <c r="M928" t="s">
        <v>611</v>
      </c>
      <c r="N928" t="s">
        <v>612</v>
      </c>
    </row>
    <row r="929" spans="1:14" x14ac:dyDescent="0.25">
      <c r="A929" t="s">
        <v>87</v>
      </c>
      <c r="B929" t="s">
        <v>88</v>
      </c>
      <c r="C929" t="s">
        <v>137</v>
      </c>
      <c r="D929" s="13">
        <v>45639</v>
      </c>
      <c r="E929" t="s">
        <v>414</v>
      </c>
      <c r="F929">
        <v>25385.66</v>
      </c>
      <c r="G929">
        <v>0</v>
      </c>
      <c r="H929">
        <v>105758.37</v>
      </c>
      <c r="I929">
        <v>19902.09</v>
      </c>
      <c r="J929">
        <v>8</v>
      </c>
      <c r="K929">
        <v>0</v>
      </c>
      <c r="L929" t="s">
        <v>30</v>
      </c>
      <c r="M929" t="s">
        <v>115</v>
      </c>
      <c r="N929" t="s">
        <v>612</v>
      </c>
    </row>
    <row r="930" spans="1:14" x14ac:dyDescent="0.25">
      <c r="A930" t="s">
        <v>90</v>
      </c>
      <c r="B930" t="s">
        <v>91</v>
      </c>
      <c r="C930" t="s">
        <v>137</v>
      </c>
      <c r="D930" s="13">
        <v>45639</v>
      </c>
      <c r="E930" t="s">
        <v>414</v>
      </c>
      <c r="F930">
        <v>19567.02</v>
      </c>
      <c r="G930">
        <v>0</v>
      </c>
      <c r="H930">
        <v>83097.710000000006</v>
      </c>
      <c r="I930">
        <v>15867.47</v>
      </c>
      <c r="J930">
        <v>10</v>
      </c>
      <c r="K930">
        <v>0</v>
      </c>
      <c r="L930" t="s">
        <v>30</v>
      </c>
      <c r="M930" t="s">
        <v>105</v>
      </c>
      <c r="N930" t="s">
        <v>612</v>
      </c>
    </row>
    <row r="931" spans="1:14" x14ac:dyDescent="0.25">
      <c r="A931" t="s">
        <v>93</v>
      </c>
      <c r="B931" t="s">
        <v>94</v>
      </c>
      <c r="C931" t="s">
        <v>137</v>
      </c>
      <c r="D931" s="13">
        <v>45639</v>
      </c>
      <c r="E931" t="s">
        <v>414</v>
      </c>
      <c r="F931">
        <v>34600.69</v>
      </c>
      <c r="G931">
        <v>0</v>
      </c>
      <c r="H931">
        <v>89378.559999999998</v>
      </c>
      <c r="I931">
        <v>23486.16</v>
      </c>
      <c r="J931">
        <v>11</v>
      </c>
      <c r="K931">
        <v>0</v>
      </c>
      <c r="L931" t="s">
        <v>30</v>
      </c>
      <c r="M931" t="s">
        <v>105</v>
      </c>
      <c r="N931" t="s">
        <v>612</v>
      </c>
    </row>
    <row r="932" spans="1:14" x14ac:dyDescent="0.25">
      <c r="A932" t="s">
        <v>96</v>
      </c>
      <c r="B932" t="s">
        <v>97</v>
      </c>
      <c r="C932" t="s">
        <v>137</v>
      </c>
      <c r="D932" s="13">
        <v>45639</v>
      </c>
      <c r="E932" t="s">
        <v>414</v>
      </c>
      <c r="F932">
        <v>21525</v>
      </c>
      <c r="G932">
        <v>0</v>
      </c>
      <c r="H932">
        <v>60557.67</v>
      </c>
      <c r="I932">
        <v>13142.63</v>
      </c>
      <c r="J932">
        <v>5</v>
      </c>
      <c r="K932">
        <v>0</v>
      </c>
      <c r="L932" t="s">
        <v>30</v>
      </c>
      <c r="M932" t="s">
        <v>125</v>
      </c>
      <c r="N932" t="s">
        <v>612</v>
      </c>
    </row>
    <row r="933" spans="1:14" x14ac:dyDescent="0.25">
      <c r="A933" t="s">
        <v>14</v>
      </c>
      <c r="B933" t="s">
        <v>15</v>
      </c>
      <c r="C933" t="s">
        <v>16</v>
      </c>
      <c r="D933" s="13">
        <v>45646</v>
      </c>
      <c r="E933" t="s">
        <v>414</v>
      </c>
      <c r="F933">
        <v>81126.990000000005</v>
      </c>
      <c r="G933">
        <v>0</v>
      </c>
      <c r="H933">
        <v>12059.21</v>
      </c>
      <c r="I933">
        <v>4190.7299999999996</v>
      </c>
      <c r="J933">
        <v>3</v>
      </c>
      <c r="K933">
        <v>0</v>
      </c>
      <c r="L933" t="s">
        <v>30</v>
      </c>
      <c r="M933" t="s">
        <v>43</v>
      </c>
      <c r="N933" t="s">
        <v>613</v>
      </c>
    </row>
    <row r="934" spans="1:14" x14ac:dyDescent="0.25">
      <c r="A934" t="s">
        <v>21</v>
      </c>
      <c r="B934" t="s">
        <v>22</v>
      </c>
      <c r="C934" t="s">
        <v>16</v>
      </c>
      <c r="D934" s="13">
        <v>45646</v>
      </c>
      <c r="E934" t="s">
        <v>414</v>
      </c>
      <c r="F934">
        <v>87730.98</v>
      </c>
      <c r="G934">
        <v>0</v>
      </c>
      <c r="H934">
        <v>392037.94</v>
      </c>
      <c r="I934">
        <v>113430.56</v>
      </c>
      <c r="J934">
        <v>4</v>
      </c>
      <c r="K934">
        <v>0</v>
      </c>
      <c r="L934" t="s">
        <v>30</v>
      </c>
      <c r="M934" t="s">
        <v>113</v>
      </c>
      <c r="N934" t="s">
        <v>612</v>
      </c>
    </row>
    <row r="935" spans="1:14" x14ac:dyDescent="0.25">
      <c r="A935" t="s">
        <v>27</v>
      </c>
      <c r="B935" t="s">
        <v>28</v>
      </c>
      <c r="C935" t="s">
        <v>16</v>
      </c>
      <c r="D935" s="13">
        <v>45646</v>
      </c>
      <c r="E935" t="s">
        <v>414</v>
      </c>
      <c r="F935">
        <v>206399.41</v>
      </c>
      <c r="G935">
        <v>0</v>
      </c>
      <c r="H935">
        <v>718570.29</v>
      </c>
      <c r="I935">
        <v>145965.9</v>
      </c>
      <c r="J935">
        <v>1</v>
      </c>
      <c r="K935">
        <v>0</v>
      </c>
      <c r="L935" t="s">
        <v>30</v>
      </c>
      <c r="M935" t="s">
        <v>125</v>
      </c>
      <c r="N935" t="s">
        <v>612</v>
      </c>
    </row>
    <row r="936" spans="1:14" x14ac:dyDescent="0.25">
      <c r="A936" t="s">
        <v>32</v>
      </c>
      <c r="B936" t="s">
        <v>33</v>
      </c>
      <c r="C936" t="s">
        <v>16</v>
      </c>
      <c r="D936" s="13">
        <v>45646</v>
      </c>
      <c r="E936" t="s">
        <v>414</v>
      </c>
      <c r="F936">
        <v>163078.67000000001</v>
      </c>
      <c r="G936">
        <v>0</v>
      </c>
      <c r="H936">
        <v>580355.30000000005</v>
      </c>
      <c r="I936">
        <v>109044.38</v>
      </c>
      <c r="J936">
        <v>2</v>
      </c>
      <c r="K936">
        <v>0</v>
      </c>
      <c r="L936" t="s">
        <v>30</v>
      </c>
      <c r="M936" t="s">
        <v>611</v>
      </c>
      <c r="N936" t="s">
        <v>612</v>
      </c>
    </row>
    <row r="937" spans="1:14" x14ac:dyDescent="0.25">
      <c r="A937" t="s">
        <v>39</v>
      </c>
      <c r="B937" t="s">
        <v>40</v>
      </c>
      <c r="C937" t="s">
        <v>16</v>
      </c>
      <c r="D937" s="13">
        <v>45646</v>
      </c>
      <c r="E937" t="s">
        <v>414</v>
      </c>
      <c r="F937">
        <v>207026.33</v>
      </c>
      <c r="G937">
        <v>0</v>
      </c>
      <c r="H937">
        <v>932215.28</v>
      </c>
      <c r="I937">
        <v>203558.96</v>
      </c>
      <c r="J937">
        <v>5</v>
      </c>
      <c r="K937">
        <v>0</v>
      </c>
      <c r="L937" t="s">
        <v>30</v>
      </c>
      <c r="M937" t="s">
        <v>127</v>
      </c>
      <c r="N937" t="s">
        <v>612</v>
      </c>
    </row>
    <row r="938" spans="1:14" x14ac:dyDescent="0.25">
      <c r="A938" t="s">
        <v>44</v>
      </c>
      <c r="B938" t="s">
        <v>45</v>
      </c>
      <c r="C938" t="s">
        <v>16</v>
      </c>
      <c r="D938" s="13">
        <v>45646</v>
      </c>
      <c r="E938" t="s">
        <v>414</v>
      </c>
      <c r="F938">
        <v>207380.52</v>
      </c>
      <c r="G938">
        <v>0</v>
      </c>
      <c r="H938">
        <v>874313.9</v>
      </c>
      <c r="I938">
        <v>221843.97</v>
      </c>
      <c r="J938">
        <v>1</v>
      </c>
      <c r="K938">
        <v>0</v>
      </c>
      <c r="L938" t="s">
        <v>30</v>
      </c>
      <c r="M938" t="s">
        <v>611</v>
      </c>
      <c r="N938" t="s">
        <v>612</v>
      </c>
    </row>
    <row r="939" spans="1:14" x14ac:dyDescent="0.25">
      <c r="A939" t="s">
        <v>49</v>
      </c>
      <c r="B939" t="s">
        <v>50</v>
      </c>
      <c r="C939" t="s">
        <v>51</v>
      </c>
      <c r="D939" s="13">
        <v>45646</v>
      </c>
      <c r="E939" t="s">
        <v>414</v>
      </c>
      <c r="F939">
        <v>53463.17</v>
      </c>
      <c r="G939">
        <v>0</v>
      </c>
      <c r="H939">
        <v>233956.48000000001</v>
      </c>
      <c r="I939">
        <v>78590.320000000007</v>
      </c>
      <c r="J939">
        <v>4</v>
      </c>
      <c r="K939">
        <v>0</v>
      </c>
      <c r="L939" t="s">
        <v>30</v>
      </c>
      <c r="M939" t="s">
        <v>611</v>
      </c>
      <c r="N939" t="s">
        <v>612</v>
      </c>
    </row>
    <row r="940" spans="1:14" x14ac:dyDescent="0.25">
      <c r="A940" t="s">
        <v>55</v>
      </c>
      <c r="B940" t="s">
        <v>56</v>
      </c>
      <c r="C940" t="s">
        <v>51</v>
      </c>
      <c r="D940" s="13">
        <v>45646</v>
      </c>
      <c r="E940" t="s">
        <v>414</v>
      </c>
      <c r="F940">
        <v>87686.7</v>
      </c>
      <c r="G940">
        <v>0</v>
      </c>
      <c r="H940">
        <v>230927.39</v>
      </c>
      <c r="I940">
        <v>61741.98</v>
      </c>
      <c r="J940">
        <v>2</v>
      </c>
      <c r="K940">
        <v>0</v>
      </c>
      <c r="L940" t="s">
        <v>30</v>
      </c>
      <c r="M940" t="s">
        <v>105</v>
      </c>
      <c r="N940" t="s">
        <v>612</v>
      </c>
    </row>
    <row r="941" spans="1:14" x14ac:dyDescent="0.25">
      <c r="A941" t="s">
        <v>59</v>
      </c>
      <c r="B941" t="s">
        <v>60</v>
      </c>
      <c r="C941" t="s">
        <v>51</v>
      </c>
      <c r="D941" s="13">
        <v>45646</v>
      </c>
      <c r="E941" t="s">
        <v>414</v>
      </c>
      <c r="F941">
        <v>113519.26</v>
      </c>
      <c r="G941">
        <v>0</v>
      </c>
      <c r="H941">
        <v>564021.27</v>
      </c>
      <c r="I941">
        <v>171628.39</v>
      </c>
      <c r="J941">
        <v>6</v>
      </c>
      <c r="K941">
        <v>0</v>
      </c>
      <c r="L941" t="s">
        <v>30</v>
      </c>
      <c r="M941" t="s">
        <v>113</v>
      </c>
      <c r="N941" t="s">
        <v>612</v>
      </c>
    </row>
    <row r="942" spans="1:14" x14ac:dyDescent="0.25">
      <c r="A942" t="s">
        <v>62</v>
      </c>
      <c r="B942" t="s">
        <v>63</v>
      </c>
      <c r="C942" t="s">
        <v>51</v>
      </c>
      <c r="D942" s="13">
        <v>45646</v>
      </c>
      <c r="E942" t="s">
        <v>414</v>
      </c>
      <c r="F942">
        <v>68042.63</v>
      </c>
      <c r="G942">
        <v>0</v>
      </c>
      <c r="H942">
        <v>217225.8</v>
      </c>
      <c r="I942">
        <v>44612.86</v>
      </c>
      <c r="J942">
        <v>2</v>
      </c>
      <c r="K942">
        <v>0</v>
      </c>
      <c r="L942" t="s">
        <v>30</v>
      </c>
      <c r="M942" t="s">
        <v>43</v>
      </c>
      <c r="N942" t="s">
        <v>612</v>
      </c>
    </row>
    <row r="943" spans="1:14" x14ac:dyDescent="0.25">
      <c r="A943" t="s">
        <v>66</v>
      </c>
      <c r="B943" t="s">
        <v>67</v>
      </c>
      <c r="C943" t="s">
        <v>51</v>
      </c>
      <c r="D943" s="13">
        <v>45646</v>
      </c>
      <c r="E943" t="s">
        <v>414</v>
      </c>
      <c r="F943">
        <v>55075.72</v>
      </c>
      <c r="G943">
        <v>0</v>
      </c>
      <c r="H943">
        <v>193750.6</v>
      </c>
      <c r="I943">
        <v>34970.160000000003</v>
      </c>
      <c r="J943">
        <v>1</v>
      </c>
      <c r="K943">
        <v>0</v>
      </c>
      <c r="L943" t="s">
        <v>30</v>
      </c>
      <c r="M943" t="s">
        <v>26</v>
      </c>
      <c r="N943" t="s">
        <v>612</v>
      </c>
    </row>
    <row r="944" spans="1:14" x14ac:dyDescent="0.25">
      <c r="A944" t="s">
        <v>68</v>
      </c>
      <c r="B944" t="s">
        <v>69</v>
      </c>
      <c r="C944" t="s">
        <v>51</v>
      </c>
      <c r="D944" s="13">
        <v>45646</v>
      </c>
      <c r="E944" t="s">
        <v>414</v>
      </c>
      <c r="F944">
        <v>69105.679999999993</v>
      </c>
      <c r="G944">
        <v>0</v>
      </c>
      <c r="H944">
        <v>188254.03</v>
      </c>
      <c r="I944">
        <v>59902.86</v>
      </c>
      <c r="J944">
        <v>6</v>
      </c>
      <c r="K944">
        <v>0</v>
      </c>
      <c r="L944" t="s">
        <v>30</v>
      </c>
      <c r="M944" t="s">
        <v>31</v>
      </c>
      <c r="N944" t="s">
        <v>612</v>
      </c>
    </row>
    <row r="945" spans="1:14" x14ac:dyDescent="0.25">
      <c r="A945" t="s">
        <v>74</v>
      </c>
      <c r="B945" t="s">
        <v>75</v>
      </c>
      <c r="C945" t="s">
        <v>51</v>
      </c>
      <c r="D945" s="13">
        <v>45646</v>
      </c>
      <c r="E945" t="s">
        <v>414</v>
      </c>
      <c r="F945">
        <v>87921.65</v>
      </c>
      <c r="G945">
        <v>0</v>
      </c>
      <c r="H945">
        <v>280449.34999999998</v>
      </c>
      <c r="I945">
        <v>69164.399999999994</v>
      </c>
      <c r="J945">
        <v>2</v>
      </c>
      <c r="K945">
        <v>0</v>
      </c>
      <c r="L945" t="s">
        <v>30</v>
      </c>
      <c r="M945" t="s">
        <v>611</v>
      </c>
      <c r="N945" t="s">
        <v>612</v>
      </c>
    </row>
    <row r="946" spans="1:14" x14ac:dyDescent="0.25">
      <c r="A946" t="s">
        <v>78</v>
      </c>
      <c r="B946" t="s">
        <v>79</v>
      </c>
      <c r="C946" t="s">
        <v>137</v>
      </c>
      <c r="D946" s="13">
        <v>45646</v>
      </c>
      <c r="E946" t="s">
        <v>414</v>
      </c>
      <c r="F946">
        <v>32500.1</v>
      </c>
      <c r="G946">
        <v>0</v>
      </c>
      <c r="H946">
        <v>142443.31</v>
      </c>
      <c r="I946">
        <v>34918.269999999997</v>
      </c>
      <c r="J946">
        <v>8</v>
      </c>
      <c r="K946">
        <v>0</v>
      </c>
      <c r="L946" t="s">
        <v>112</v>
      </c>
      <c r="M946" t="s">
        <v>115</v>
      </c>
      <c r="N946" t="s">
        <v>612</v>
      </c>
    </row>
    <row r="947" spans="1:14" x14ac:dyDescent="0.25">
      <c r="A947" t="s">
        <v>82</v>
      </c>
      <c r="B947" t="s">
        <v>83</v>
      </c>
      <c r="C947" t="s">
        <v>137</v>
      </c>
      <c r="D947" s="13">
        <v>45646</v>
      </c>
      <c r="E947" t="s">
        <v>414</v>
      </c>
      <c r="F947">
        <v>26890.880000000001</v>
      </c>
      <c r="G947">
        <v>0</v>
      </c>
      <c r="H947">
        <v>79903.87</v>
      </c>
      <c r="I947">
        <v>20044.8</v>
      </c>
      <c r="J947">
        <v>2</v>
      </c>
      <c r="K947">
        <v>0</v>
      </c>
      <c r="L947" t="s">
        <v>30</v>
      </c>
      <c r="M947" t="s">
        <v>26</v>
      </c>
      <c r="N947" t="s">
        <v>612</v>
      </c>
    </row>
    <row r="948" spans="1:14" x14ac:dyDescent="0.25">
      <c r="A948" t="s">
        <v>84</v>
      </c>
      <c r="B948" t="s">
        <v>85</v>
      </c>
      <c r="C948" t="s">
        <v>137</v>
      </c>
      <c r="D948" s="13">
        <v>45646</v>
      </c>
      <c r="E948" t="s">
        <v>414</v>
      </c>
      <c r="F948">
        <v>11965.17</v>
      </c>
      <c r="G948">
        <v>0</v>
      </c>
      <c r="H948">
        <v>42205.2</v>
      </c>
      <c r="I948">
        <v>13543.11</v>
      </c>
      <c r="J948">
        <v>7</v>
      </c>
      <c r="K948">
        <v>0</v>
      </c>
      <c r="L948" t="s">
        <v>112</v>
      </c>
      <c r="M948" t="s">
        <v>611</v>
      </c>
      <c r="N948" t="s">
        <v>612</v>
      </c>
    </row>
    <row r="949" spans="1:14" x14ac:dyDescent="0.25">
      <c r="A949" t="s">
        <v>87</v>
      </c>
      <c r="B949" t="s">
        <v>88</v>
      </c>
      <c r="C949" t="s">
        <v>137</v>
      </c>
      <c r="D949" s="13">
        <v>45646</v>
      </c>
      <c r="E949" t="s">
        <v>414</v>
      </c>
      <c r="F949">
        <v>33626.879999999997</v>
      </c>
      <c r="G949">
        <v>0</v>
      </c>
      <c r="H949">
        <v>141841.81</v>
      </c>
      <c r="I949">
        <v>40548.559999999998</v>
      </c>
      <c r="J949">
        <v>8</v>
      </c>
      <c r="K949">
        <v>0</v>
      </c>
      <c r="L949" t="s">
        <v>30</v>
      </c>
      <c r="M949" t="s">
        <v>611</v>
      </c>
      <c r="N949" t="s">
        <v>612</v>
      </c>
    </row>
    <row r="950" spans="1:14" x14ac:dyDescent="0.25">
      <c r="A950" t="s">
        <v>90</v>
      </c>
      <c r="B950" t="s">
        <v>91</v>
      </c>
      <c r="C950" t="s">
        <v>137</v>
      </c>
      <c r="D950" s="13">
        <v>45646</v>
      </c>
      <c r="E950" t="s">
        <v>414</v>
      </c>
      <c r="F950">
        <v>31958.76</v>
      </c>
      <c r="G950">
        <v>0</v>
      </c>
      <c r="H950">
        <v>156790.14000000001</v>
      </c>
      <c r="I950">
        <v>40508.080000000002</v>
      </c>
      <c r="J950">
        <v>4</v>
      </c>
      <c r="K950">
        <v>0</v>
      </c>
      <c r="L950" t="s">
        <v>112</v>
      </c>
      <c r="M950" t="s">
        <v>105</v>
      </c>
      <c r="N950" t="s">
        <v>612</v>
      </c>
    </row>
    <row r="951" spans="1:14" x14ac:dyDescent="0.25">
      <c r="A951" t="s">
        <v>93</v>
      </c>
      <c r="B951" t="s">
        <v>94</v>
      </c>
      <c r="C951" t="s">
        <v>137</v>
      </c>
      <c r="D951" s="13">
        <v>45646</v>
      </c>
      <c r="E951" t="s">
        <v>414</v>
      </c>
      <c r="F951">
        <v>37004.57</v>
      </c>
      <c r="G951">
        <v>0</v>
      </c>
      <c r="H951">
        <v>95100.76</v>
      </c>
      <c r="I951">
        <v>21435.99</v>
      </c>
      <c r="J951">
        <v>9</v>
      </c>
      <c r="K951">
        <v>0</v>
      </c>
      <c r="L951" t="s">
        <v>30</v>
      </c>
      <c r="M951" t="s">
        <v>611</v>
      </c>
      <c r="N951" t="s">
        <v>612</v>
      </c>
    </row>
    <row r="952" spans="1:14" x14ac:dyDescent="0.25">
      <c r="A952" t="s">
        <v>96</v>
      </c>
      <c r="B952" t="s">
        <v>97</v>
      </c>
      <c r="C952" t="s">
        <v>137</v>
      </c>
      <c r="D952" s="13">
        <v>45646</v>
      </c>
      <c r="E952" t="s">
        <v>414</v>
      </c>
      <c r="F952">
        <v>17733.3</v>
      </c>
      <c r="G952">
        <v>0</v>
      </c>
      <c r="H952">
        <v>60768.42</v>
      </c>
      <c r="I952">
        <v>19794.21</v>
      </c>
      <c r="J952">
        <v>8</v>
      </c>
      <c r="K952">
        <v>0</v>
      </c>
      <c r="L952" t="s">
        <v>30</v>
      </c>
      <c r="M952" t="s">
        <v>611</v>
      </c>
      <c r="N952" t="s">
        <v>612</v>
      </c>
    </row>
    <row r="953" spans="1:14" x14ac:dyDescent="0.25">
      <c r="A953" t="s">
        <v>21</v>
      </c>
      <c r="B953" t="s">
        <v>22</v>
      </c>
      <c r="C953" t="s">
        <v>16</v>
      </c>
      <c r="D953" s="13">
        <v>45653</v>
      </c>
      <c r="E953" t="s">
        <v>414</v>
      </c>
      <c r="F953">
        <v>58083.8</v>
      </c>
      <c r="G953">
        <v>0</v>
      </c>
      <c r="H953">
        <v>281691.33</v>
      </c>
      <c r="I953">
        <v>89721.56</v>
      </c>
      <c r="J953">
        <v>2</v>
      </c>
      <c r="K953">
        <v>0</v>
      </c>
      <c r="L953" t="s">
        <v>30</v>
      </c>
      <c r="M953" t="s">
        <v>105</v>
      </c>
      <c r="N953" t="s">
        <v>612</v>
      </c>
    </row>
    <row r="954" spans="1:14" x14ac:dyDescent="0.25">
      <c r="A954" t="s">
        <v>32</v>
      </c>
      <c r="B954" t="s">
        <v>33</v>
      </c>
      <c r="C954" t="s">
        <v>16</v>
      </c>
      <c r="D954" s="13">
        <v>45653</v>
      </c>
      <c r="E954" t="s">
        <v>414</v>
      </c>
      <c r="F954">
        <v>118665.74</v>
      </c>
      <c r="G954">
        <v>0</v>
      </c>
      <c r="H954">
        <v>527148.72</v>
      </c>
      <c r="I954">
        <v>105520.83</v>
      </c>
      <c r="J954">
        <v>2</v>
      </c>
      <c r="K954">
        <v>0</v>
      </c>
      <c r="L954" t="s">
        <v>30</v>
      </c>
      <c r="M954" t="s">
        <v>127</v>
      </c>
      <c r="N954" t="s">
        <v>612</v>
      </c>
    </row>
    <row r="955" spans="1:14" x14ac:dyDescent="0.25">
      <c r="A955" t="s">
        <v>39</v>
      </c>
      <c r="B955" t="s">
        <v>40</v>
      </c>
      <c r="C955" t="s">
        <v>16</v>
      </c>
      <c r="D955" s="13">
        <v>45653</v>
      </c>
      <c r="E955" t="s">
        <v>414</v>
      </c>
      <c r="F955">
        <v>124342.88</v>
      </c>
      <c r="G955">
        <v>0</v>
      </c>
      <c r="H955">
        <v>20306.96</v>
      </c>
      <c r="I955">
        <v>4414.7700000000004</v>
      </c>
      <c r="J955">
        <v>4</v>
      </c>
      <c r="K955">
        <v>0</v>
      </c>
      <c r="L955" t="s">
        <v>30</v>
      </c>
      <c r="M955" t="s">
        <v>611</v>
      </c>
      <c r="N955" t="s">
        <v>613</v>
      </c>
    </row>
    <row r="956" spans="1:14" x14ac:dyDescent="0.25">
      <c r="A956" t="s">
        <v>44</v>
      </c>
      <c r="B956" t="s">
        <v>45</v>
      </c>
      <c r="C956" t="s">
        <v>16</v>
      </c>
      <c r="D956" s="13">
        <v>45653</v>
      </c>
      <c r="E956" t="s">
        <v>414</v>
      </c>
      <c r="F956">
        <v>142528.78</v>
      </c>
      <c r="G956">
        <v>0</v>
      </c>
      <c r="H956">
        <v>554786.64</v>
      </c>
      <c r="I956">
        <v>119584.04</v>
      </c>
      <c r="J956">
        <v>6</v>
      </c>
      <c r="K956">
        <v>0</v>
      </c>
      <c r="L956" t="s">
        <v>30</v>
      </c>
      <c r="M956" t="s">
        <v>101</v>
      </c>
      <c r="N956" t="s">
        <v>612</v>
      </c>
    </row>
    <row r="957" spans="1:14" x14ac:dyDescent="0.25">
      <c r="A957" t="s">
        <v>49</v>
      </c>
      <c r="B957" t="s">
        <v>50</v>
      </c>
      <c r="C957" t="s">
        <v>51</v>
      </c>
      <c r="D957" s="13">
        <v>45653</v>
      </c>
      <c r="E957" t="s">
        <v>414</v>
      </c>
      <c r="F957">
        <v>28604.37</v>
      </c>
      <c r="G957">
        <v>0</v>
      </c>
      <c r="H957">
        <v>109342.83</v>
      </c>
      <c r="I957">
        <v>35952.26</v>
      </c>
      <c r="J957">
        <v>2</v>
      </c>
      <c r="K957">
        <v>0</v>
      </c>
      <c r="L957" t="s">
        <v>30</v>
      </c>
      <c r="M957" t="s">
        <v>127</v>
      </c>
      <c r="N957" t="s">
        <v>612</v>
      </c>
    </row>
    <row r="958" spans="1:14" x14ac:dyDescent="0.25">
      <c r="A958" t="s">
        <v>55</v>
      </c>
      <c r="B958" t="s">
        <v>56</v>
      </c>
      <c r="C958" t="s">
        <v>51</v>
      </c>
      <c r="D958" s="13">
        <v>45653</v>
      </c>
      <c r="E958" t="s">
        <v>414</v>
      </c>
      <c r="F958">
        <v>33716.720000000001</v>
      </c>
      <c r="G958">
        <v>0</v>
      </c>
      <c r="H958">
        <v>162261.76999999999</v>
      </c>
      <c r="I958">
        <v>39057.82</v>
      </c>
      <c r="J958">
        <v>2</v>
      </c>
      <c r="K958">
        <v>0</v>
      </c>
      <c r="L958" t="s">
        <v>30</v>
      </c>
      <c r="M958" t="s">
        <v>611</v>
      </c>
      <c r="N958" t="s">
        <v>612</v>
      </c>
    </row>
    <row r="959" spans="1:14" x14ac:dyDescent="0.25">
      <c r="A959" t="s">
        <v>59</v>
      </c>
      <c r="B959" t="s">
        <v>60</v>
      </c>
      <c r="C959" t="s">
        <v>51</v>
      </c>
      <c r="D959" s="13">
        <v>45653</v>
      </c>
      <c r="E959" t="s">
        <v>414</v>
      </c>
      <c r="F959">
        <v>54156.27</v>
      </c>
      <c r="G959">
        <v>0</v>
      </c>
      <c r="H959">
        <v>225096.2</v>
      </c>
      <c r="I959">
        <v>45106.03</v>
      </c>
      <c r="J959">
        <v>1</v>
      </c>
      <c r="K959">
        <v>0</v>
      </c>
      <c r="L959" t="s">
        <v>30</v>
      </c>
      <c r="M959" t="s">
        <v>115</v>
      </c>
      <c r="N959" t="s">
        <v>612</v>
      </c>
    </row>
    <row r="960" spans="1:14" x14ac:dyDescent="0.25">
      <c r="A960" t="s">
        <v>62</v>
      </c>
      <c r="B960" t="s">
        <v>63</v>
      </c>
      <c r="C960" t="s">
        <v>51</v>
      </c>
      <c r="D960" s="13">
        <v>45653</v>
      </c>
      <c r="E960" t="s">
        <v>414</v>
      </c>
      <c r="F960">
        <v>41886.94</v>
      </c>
      <c r="G960">
        <v>0</v>
      </c>
      <c r="H960">
        <v>141479.87</v>
      </c>
      <c r="I960">
        <v>44119.95</v>
      </c>
      <c r="J960">
        <v>2</v>
      </c>
      <c r="K960">
        <v>0</v>
      </c>
      <c r="L960" t="s">
        <v>112</v>
      </c>
      <c r="M960" t="s">
        <v>611</v>
      </c>
      <c r="N960" t="s">
        <v>612</v>
      </c>
    </row>
    <row r="961" spans="1:14" x14ac:dyDescent="0.25">
      <c r="A961" t="s">
        <v>66</v>
      </c>
      <c r="B961" t="s">
        <v>67</v>
      </c>
      <c r="C961" t="s">
        <v>51</v>
      </c>
      <c r="D961" s="13">
        <v>45653</v>
      </c>
      <c r="E961" t="s">
        <v>414</v>
      </c>
      <c r="F961">
        <v>837595</v>
      </c>
      <c r="G961">
        <v>0</v>
      </c>
      <c r="H961">
        <v>253545.68</v>
      </c>
      <c r="I961">
        <v>52921.55</v>
      </c>
      <c r="J961">
        <v>6</v>
      </c>
      <c r="K961">
        <v>0</v>
      </c>
      <c r="L961" t="s">
        <v>30</v>
      </c>
      <c r="M961" t="s">
        <v>105</v>
      </c>
      <c r="N961" t="s">
        <v>612</v>
      </c>
    </row>
    <row r="962" spans="1:14" x14ac:dyDescent="0.25">
      <c r="A962" t="s">
        <v>68</v>
      </c>
      <c r="B962" t="s">
        <v>69</v>
      </c>
      <c r="C962" t="s">
        <v>51</v>
      </c>
      <c r="D962" s="13">
        <v>45653</v>
      </c>
      <c r="E962" t="s">
        <v>414</v>
      </c>
      <c r="F962">
        <v>43530.11</v>
      </c>
      <c r="G962">
        <v>0</v>
      </c>
      <c r="H962">
        <v>155274.23999999999</v>
      </c>
      <c r="I962">
        <v>53606.69</v>
      </c>
      <c r="J962">
        <v>4</v>
      </c>
      <c r="K962">
        <v>0</v>
      </c>
      <c r="L962" t="s">
        <v>30</v>
      </c>
      <c r="M962" t="s">
        <v>125</v>
      </c>
      <c r="N962" t="s">
        <v>612</v>
      </c>
    </row>
    <row r="963" spans="1:14" x14ac:dyDescent="0.25">
      <c r="A963" t="s">
        <v>74</v>
      </c>
      <c r="B963" t="s">
        <v>75</v>
      </c>
      <c r="C963" t="s">
        <v>51</v>
      </c>
      <c r="D963" s="13">
        <v>45653</v>
      </c>
      <c r="E963" t="s">
        <v>414</v>
      </c>
      <c r="F963">
        <v>41994.2</v>
      </c>
      <c r="G963">
        <v>0</v>
      </c>
      <c r="H963">
        <v>106472.03</v>
      </c>
      <c r="I963">
        <v>26340.37</v>
      </c>
      <c r="J963">
        <v>3</v>
      </c>
      <c r="K963">
        <v>0</v>
      </c>
      <c r="L963" t="s">
        <v>30</v>
      </c>
      <c r="M963" t="s">
        <v>611</v>
      </c>
      <c r="N963" t="s">
        <v>612</v>
      </c>
    </row>
    <row r="964" spans="1:14" x14ac:dyDescent="0.25">
      <c r="A964" t="s">
        <v>78</v>
      </c>
      <c r="B964" t="s">
        <v>79</v>
      </c>
      <c r="C964" t="s">
        <v>137</v>
      </c>
      <c r="D964" s="13">
        <v>45653</v>
      </c>
      <c r="E964" t="s">
        <v>414</v>
      </c>
      <c r="F964">
        <v>29042.47</v>
      </c>
      <c r="G964">
        <v>0</v>
      </c>
      <c r="H964">
        <v>96153</v>
      </c>
      <c r="I964">
        <v>19449.310000000001</v>
      </c>
      <c r="J964">
        <v>5</v>
      </c>
      <c r="K964">
        <v>0</v>
      </c>
      <c r="L964" t="s">
        <v>112</v>
      </c>
      <c r="M964" t="s">
        <v>611</v>
      </c>
      <c r="N964" t="s">
        <v>612</v>
      </c>
    </row>
    <row r="965" spans="1:14" x14ac:dyDescent="0.25">
      <c r="A965" t="s">
        <v>82</v>
      </c>
      <c r="B965" t="s">
        <v>83</v>
      </c>
      <c r="C965" t="s">
        <v>137</v>
      </c>
      <c r="D965" s="13">
        <v>45653</v>
      </c>
      <c r="E965" t="s">
        <v>414</v>
      </c>
      <c r="F965">
        <v>48858.26</v>
      </c>
      <c r="G965">
        <v>0</v>
      </c>
      <c r="H965">
        <v>191289.09</v>
      </c>
      <c r="I965">
        <v>56057.4</v>
      </c>
      <c r="J965">
        <v>12</v>
      </c>
      <c r="K965">
        <v>0</v>
      </c>
      <c r="L965" t="s">
        <v>30</v>
      </c>
      <c r="M965" t="s">
        <v>611</v>
      </c>
      <c r="N965" t="s">
        <v>612</v>
      </c>
    </row>
    <row r="966" spans="1:14" x14ac:dyDescent="0.25">
      <c r="A966" t="s">
        <v>84</v>
      </c>
      <c r="B966" t="s">
        <v>85</v>
      </c>
      <c r="C966" t="s">
        <v>137</v>
      </c>
      <c r="D966" s="13">
        <v>45653</v>
      </c>
      <c r="E966" t="s">
        <v>414</v>
      </c>
      <c r="F966">
        <v>32305.89</v>
      </c>
      <c r="G966">
        <v>0</v>
      </c>
      <c r="H966">
        <v>153217.85999999999</v>
      </c>
      <c r="I966">
        <v>40050.239999999998</v>
      </c>
      <c r="J966">
        <v>5</v>
      </c>
      <c r="K966">
        <v>0</v>
      </c>
      <c r="L966" t="s">
        <v>30</v>
      </c>
      <c r="M966" t="s">
        <v>611</v>
      </c>
      <c r="N966" t="s">
        <v>612</v>
      </c>
    </row>
    <row r="967" spans="1:14" x14ac:dyDescent="0.25">
      <c r="A967" t="s">
        <v>87</v>
      </c>
      <c r="B967" t="s">
        <v>88</v>
      </c>
      <c r="C967" t="s">
        <v>137</v>
      </c>
      <c r="D967" s="13">
        <v>45653</v>
      </c>
      <c r="E967" t="s">
        <v>414</v>
      </c>
      <c r="F967">
        <v>23090.04</v>
      </c>
      <c r="G967">
        <v>0</v>
      </c>
      <c r="H967">
        <v>64769</v>
      </c>
      <c r="I967">
        <v>13293.48</v>
      </c>
      <c r="J967">
        <v>12</v>
      </c>
      <c r="K967">
        <v>0</v>
      </c>
      <c r="L967" t="s">
        <v>30</v>
      </c>
      <c r="M967" t="s">
        <v>611</v>
      </c>
      <c r="N967" t="s">
        <v>612</v>
      </c>
    </row>
    <row r="968" spans="1:14" x14ac:dyDescent="0.25">
      <c r="A968" t="s">
        <v>90</v>
      </c>
      <c r="B968" t="s">
        <v>91</v>
      </c>
      <c r="C968" t="s">
        <v>137</v>
      </c>
      <c r="D968" s="13">
        <v>45653</v>
      </c>
      <c r="E968" t="s">
        <v>414</v>
      </c>
      <c r="F968">
        <v>18425.14</v>
      </c>
      <c r="G968">
        <v>0</v>
      </c>
      <c r="H968">
        <v>58815.3</v>
      </c>
      <c r="I968">
        <v>14201.57</v>
      </c>
      <c r="J968">
        <v>6</v>
      </c>
      <c r="K968">
        <v>0</v>
      </c>
      <c r="L968" t="s">
        <v>30</v>
      </c>
      <c r="M968" t="s">
        <v>611</v>
      </c>
      <c r="N968" t="s">
        <v>612</v>
      </c>
    </row>
    <row r="969" spans="1:14" x14ac:dyDescent="0.25">
      <c r="A969" t="s">
        <v>93</v>
      </c>
      <c r="B969" t="s">
        <v>94</v>
      </c>
      <c r="C969" t="s">
        <v>137</v>
      </c>
      <c r="D969" s="13">
        <v>45653</v>
      </c>
      <c r="E969" t="s">
        <v>414</v>
      </c>
      <c r="F969">
        <v>20961</v>
      </c>
      <c r="G969">
        <v>0</v>
      </c>
      <c r="H969">
        <v>72107</v>
      </c>
      <c r="I969">
        <v>20223.32</v>
      </c>
      <c r="J969">
        <v>9</v>
      </c>
      <c r="K969">
        <v>0</v>
      </c>
      <c r="L969" t="s">
        <v>30</v>
      </c>
      <c r="M969" t="s">
        <v>125</v>
      </c>
      <c r="N969" t="s">
        <v>612</v>
      </c>
    </row>
    <row r="970" spans="1:14" x14ac:dyDescent="0.25">
      <c r="A970" t="s">
        <v>96</v>
      </c>
      <c r="B970" t="s">
        <v>97</v>
      </c>
      <c r="C970" t="s">
        <v>137</v>
      </c>
      <c r="D970" s="13">
        <v>45653</v>
      </c>
      <c r="E970" t="s">
        <v>414</v>
      </c>
      <c r="F970">
        <v>9920.26</v>
      </c>
      <c r="G970">
        <v>0</v>
      </c>
      <c r="H970">
        <v>37105</v>
      </c>
      <c r="I970">
        <v>10852.38</v>
      </c>
      <c r="J970">
        <v>4</v>
      </c>
      <c r="K970">
        <v>0</v>
      </c>
      <c r="L970" t="s">
        <v>30</v>
      </c>
      <c r="M970" t="s">
        <v>611</v>
      </c>
      <c r="N970" t="s">
        <v>612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DE67-3AC7-4EB4-9C1E-DB6B30F5ABD7}">
  <dimension ref="A1:I11"/>
  <sheetViews>
    <sheetView tabSelected="1" workbookViewId="0">
      <selection activeCell="K13" sqref="K13"/>
    </sheetView>
  </sheetViews>
  <sheetFormatPr defaultRowHeight="15" x14ac:dyDescent="0.25"/>
  <cols>
    <col min="1" max="1" width="21.140625" bestFit="1" customWidth="1"/>
    <col min="2" max="2" width="16" bestFit="1" customWidth="1"/>
  </cols>
  <sheetData>
    <row r="1" spans="1:9" x14ac:dyDescent="0.25">
      <c r="A1" t="s">
        <v>642</v>
      </c>
      <c r="B1" t="s">
        <v>643</v>
      </c>
    </row>
    <row r="2" spans="1:9" x14ac:dyDescent="0.25">
      <c r="A2" t="s">
        <v>616</v>
      </c>
      <c r="B2" s="30">
        <f>1-ABS(SUMIFS(Cleaned_Forecast_Data!F:F,Cleaned_Forecast_Data!E:E,"&lt;&gt;Q4 2024")-SUMIFS(Cleaned_Forecast_Data!G:G,Cleaned_Forecast_Data!E:E,"&lt;&gt;Q4 2024"))/SUMIFS(Cleaned_Forecast_Data!G:G,Cleaned_Forecast_Data!E:E,"&lt;&gt;Q4 2024")</f>
        <v>0.40941979513002102</v>
      </c>
    </row>
    <row r="3" spans="1:9" x14ac:dyDescent="0.25">
      <c r="A3" t="s">
        <v>614</v>
      </c>
      <c r="B3">
        <f>SUMIFS(Cleaned_Forecast_Data!F:F,Cleaned_Forecast_Data!E:E,"&lt;&gt;Q4 2024")</f>
        <v>73712329.740000054</v>
      </c>
    </row>
    <row r="4" spans="1:9" x14ac:dyDescent="0.25">
      <c r="A4" t="s">
        <v>615</v>
      </c>
      <c r="B4">
        <f>SUMIFS(Cleaned_Forecast_Data!G:G,Cleaned_Forecast_Data!E:E,"&lt;&gt;Q4 2024")</f>
        <v>46343044.830000021</v>
      </c>
    </row>
    <row r="5" spans="1:9" x14ac:dyDescent="0.25">
      <c r="A5" t="s">
        <v>644</v>
      </c>
      <c r="B5" s="31">
        <f>B3-B4</f>
        <v>27369284.910000034</v>
      </c>
    </row>
    <row r="6" spans="1:9" x14ac:dyDescent="0.25">
      <c r="A6" t="s">
        <v>645</v>
      </c>
      <c r="B6" s="32" t="s">
        <v>137</v>
      </c>
    </row>
    <row r="7" spans="1:9" x14ac:dyDescent="0.25">
      <c r="A7" t="s">
        <v>646</v>
      </c>
      <c r="B7" s="32" t="s">
        <v>16</v>
      </c>
    </row>
    <row r="8" spans="1:9" x14ac:dyDescent="0.25">
      <c r="A8" t="s">
        <v>647</v>
      </c>
      <c r="B8">
        <f>SUMIFS(Cleaned_Forecast_Data!F:F,Cleaned_Forecast_Data!E:E,"Q3 2024")-SUMIFS(Cleaned_Forecast_Data!G:G,Cleaned_Forecast_Data!E:E,"Q3 2024")</f>
        <v>16616194.730000032</v>
      </c>
    </row>
    <row r="11" spans="1:9" x14ac:dyDescent="0.25">
      <c r="I11" s="3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135D-FC9E-493D-8682-0D29FE044FA1}">
  <dimension ref="A1:O71"/>
  <sheetViews>
    <sheetView workbookViewId="0">
      <selection activeCell="F81" sqref="F81"/>
    </sheetView>
  </sheetViews>
  <sheetFormatPr defaultRowHeight="15" x14ac:dyDescent="0.25"/>
  <cols>
    <col min="1" max="1" width="36.7109375" customWidth="1"/>
    <col min="2" max="2" width="19.85546875" customWidth="1"/>
    <col min="3" max="3" width="26.42578125" customWidth="1"/>
    <col min="4" max="4" width="21.7109375" customWidth="1"/>
    <col min="5" max="5" width="18.5703125" customWidth="1"/>
    <col min="6" max="6" width="23.42578125" bestFit="1" customWidth="1"/>
    <col min="7" max="7" width="17.5703125" customWidth="1"/>
    <col min="8" max="8" width="21.5703125" bestFit="1" customWidth="1"/>
    <col min="9" max="9" width="28" bestFit="1" customWidth="1"/>
    <col min="11" max="11" width="14" customWidth="1"/>
    <col min="12" max="12" width="16.28515625" bestFit="1" customWidth="1"/>
    <col min="13" max="13" width="12" bestFit="1" customWidth="1"/>
    <col min="14" max="14" width="21.140625" bestFit="1" customWidth="1"/>
    <col min="15" max="15" width="13.42578125" bestFit="1" customWidth="1"/>
  </cols>
  <sheetData>
    <row r="1" spans="1:15" ht="15" customHeight="1" x14ac:dyDescent="0.25">
      <c r="A1" s="28" t="s">
        <v>640</v>
      </c>
      <c r="B1" s="28"/>
      <c r="C1" s="28"/>
      <c r="D1" s="28"/>
      <c r="E1" s="28"/>
      <c r="F1" s="28"/>
      <c r="G1" s="28"/>
      <c r="H1" s="28"/>
      <c r="I1" s="28"/>
    </row>
    <row r="2" spans="1:15" x14ac:dyDescent="0.25">
      <c r="A2" s="28"/>
      <c r="B2" s="28"/>
      <c r="C2" s="28"/>
      <c r="D2" s="28"/>
      <c r="E2" s="28"/>
      <c r="F2" s="28"/>
      <c r="G2" s="28"/>
      <c r="H2" s="28"/>
      <c r="I2" s="28"/>
    </row>
    <row r="3" spans="1:15" x14ac:dyDescent="0.25">
      <c r="A3" s="16" t="s">
        <v>0</v>
      </c>
      <c r="B3" s="16" t="s">
        <v>1</v>
      </c>
      <c r="C3" s="16" t="s">
        <v>2</v>
      </c>
      <c r="D3" s="16" t="s">
        <v>614</v>
      </c>
      <c r="E3" s="16" t="s">
        <v>615</v>
      </c>
      <c r="F3" s="16" t="s">
        <v>616</v>
      </c>
      <c r="G3" s="16" t="s">
        <v>617</v>
      </c>
      <c r="H3" s="16" t="s">
        <v>627</v>
      </c>
      <c r="I3" s="16" t="s">
        <v>628</v>
      </c>
      <c r="K3" s="11"/>
      <c r="L3" s="11"/>
      <c r="M3" s="11"/>
      <c r="N3" s="11"/>
      <c r="O3" s="11"/>
    </row>
    <row r="4" spans="1:15" x14ac:dyDescent="0.25">
      <c r="A4" s="23" t="s">
        <v>14</v>
      </c>
      <c r="B4" s="23" t="s">
        <v>15</v>
      </c>
      <c r="C4" s="23" t="s">
        <v>16</v>
      </c>
      <c r="D4" s="23">
        <f>SUMIFS(RAW_Forecast_Data!F:F,RAW_Forecast_Data!A:A,A4,RAW_Forecast_Data!E:E,"&lt;&gt;Q4 2024")</f>
        <v>19225746.680000007</v>
      </c>
      <c r="E4" s="23">
        <f>SUMIFS(RAW_Forecast_Data!G:G,RAW_Forecast_Data!A:A,A4,RAW_Forecast_Data!E:E,"&lt;&gt;Q4 2024")</f>
        <v>4793418.0999999987</v>
      </c>
      <c r="F4" s="24">
        <f t="shared" ref="F4:F23" si="0">IFERROR(1-ABS(D4-E4)/E4,"")</f>
        <v>-2.0108637049624387</v>
      </c>
      <c r="G4" s="23" t="str">
        <f t="shared" ref="G4:G23" si="1">IF(D4&gt;E4,"Over-Forecaster","Under-Forecaster")</f>
        <v>Over-Forecaster</v>
      </c>
      <c r="H4" s="23">
        <f>COUNTIF(RAW_Forecast_Data!A:A,A4)</f>
        <v>50</v>
      </c>
      <c r="I4" s="24">
        <f>IFERROR(COUNTIFS(RAW_Forecast_Data!A:A,A4,RAW_Forecast_Data!M:M,"Yes")/H4,"")</f>
        <v>0.46</v>
      </c>
    </row>
    <row r="5" spans="1:15" x14ac:dyDescent="0.25">
      <c r="A5" s="25" t="s">
        <v>21</v>
      </c>
      <c r="B5" s="25" t="s">
        <v>22</v>
      </c>
      <c r="C5" s="25" t="s">
        <v>16</v>
      </c>
      <c r="D5" s="23">
        <f>SUMIFS(RAW_Forecast_Data!F:F,RAW_Forecast_Data!A:A,A5,RAW_Forecast_Data!E:E,"&lt;&gt;Q4 2024")</f>
        <v>4452816.25</v>
      </c>
      <c r="E5" s="23">
        <f>SUMIFS(RAW_Forecast_Data!G:G,RAW_Forecast_Data!A:A,A5,RAW_Forecast_Data!E:E,"&lt;&gt;Q4 2024")</f>
        <v>5916007.8100000005</v>
      </c>
      <c r="F5" s="26">
        <f t="shared" si="0"/>
        <v>0.75267247661054049</v>
      </c>
      <c r="G5" s="25" t="str">
        <f t="shared" si="1"/>
        <v>Under-Forecaster</v>
      </c>
      <c r="H5" s="23">
        <f>COUNTIF(RAW_Forecast_Data!A:A,A5)</f>
        <v>51</v>
      </c>
      <c r="I5" s="24">
        <f>IFERROR(COUNTIFS(RAW_Forecast_Data!A:A,A5,RAW_Forecast_Data!M:M,"Yes")/H5,"")</f>
        <v>0.50980392156862742</v>
      </c>
    </row>
    <row r="6" spans="1:15" x14ac:dyDescent="0.25">
      <c r="A6" s="23" t="s">
        <v>27</v>
      </c>
      <c r="B6" s="23" t="s">
        <v>28</v>
      </c>
      <c r="C6" s="23" t="s">
        <v>16</v>
      </c>
      <c r="D6" s="23">
        <f>SUMIFS(RAW_Forecast_Data!F:F,RAW_Forecast_Data!A:A,A6,RAW_Forecast_Data!E:E,"&lt;&gt;Q4 2024")</f>
        <v>5471677.0200000014</v>
      </c>
      <c r="E6" s="23">
        <f>SUMIFS(RAW_Forecast_Data!G:G,RAW_Forecast_Data!A:A,A6,RAW_Forecast_Data!E:E,"&lt;&gt;Q4 2024")</f>
        <v>4481642.5500000007</v>
      </c>
      <c r="F6" s="24">
        <f t="shared" si="0"/>
        <v>0.77909115710265642</v>
      </c>
      <c r="G6" s="23" t="str">
        <f t="shared" si="1"/>
        <v>Over-Forecaster</v>
      </c>
      <c r="H6" s="23">
        <f>COUNTIF(RAW_Forecast_Data!A:A,A6)</f>
        <v>50</v>
      </c>
      <c r="I6" s="24">
        <f>IFERROR(COUNTIFS(RAW_Forecast_Data!A:A,A6,RAW_Forecast_Data!M:M,"Yes")/H6,"")</f>
        <v>0.48</v>
      </c>
    </row>
    <row r="7" spans="1:15" x14ac:dyDescent="0.25">
      <c r="A7" s="25" t="s">
        <v>32</v>
      </c>
      <c r="B7" s="25" t="s">
        <v>33</v>
      </c>
      <c r="C7" s="25" t="s">
        <v>16</v>
      </c>
      <c r="D7" s="23">
        <f>SUMIFS(RAW_Forecast_Data!F:F,RAW_Forecast_Data!A:A,A7,RAW_Forecast_Data!E:E,"&lt;&gt;Q4 2024")</f>
        <v>5680832.4900000012</v>
      </c>
      <c r="E7" s="23">
        <f>SUMIFS(RAW_Forecast_Data!G:G,RAW_Forecast_Data!A:A,A7,RAW_Forecast_Data!E:E,"&lt;&gt;Q4 2024")</f>
        <v>5029247.87</v>
      </c>
      <c r="F7" s="26">
        <f t="shared" si="0"/>
        <v>0.87044094130122862</v>
      </c>
      <c r="G7" s="25" t="str">
        <f t="shared" si="1"/>
        <v>Over-Forecaster</v>
      </c>
      <c r="H7" s="23">
        <f>COUNTIF(RAW_Forecast_Data!A:A,A7)</f>
        <v>51</v>
      </c>
      <c r="I7" s="24">
        <f>IFERROR(COUNTIFS(RAW_Forecast_Data!A:A,A7,RAW_Forecast_Data!M:M,"Yes")/H7,"")</f>
        <v>0.5490196078431373</v>
      </c>
    </row>
    <row r="8" spans="1:15" x14ac:dyDescent="0.25">
      <c r="A8" s="23" t="s">
        <v>39</v>
      </c>
      <c r="B8" s="23" t="s">
        <v>40</v>
      </c>
      <c r="C8" s="23" t="s">
        <v>16</v>
      </c>
      <c r="D8" s="23">
        <f>SUMIFS(RAW_Forecast_Data!F:F,RAW_Forecast_Data!A:A,A8,RAW_Forecast_Data!E:E,"&lt;&gt;Q4 2024")</f>
        <v>6035497.8899999997</v>
      </c>
      <c r="E8" s="23">
        <f>SUMIFS(RAW_Forecast_Data!G:G,RAW_Forecast_Data!A:A,A8,RAW_Forecast_Data!E:E,"&lt;&gt;Q4 2024")</f>
        <v>4989297.0900000008</v>
      </c>
      <c r="F8" s="24">
        <f t="shared" si="0"/>
        <v>0.79031098346560902</v>
      </c>
      <c r="G8" s="23" t="str">
        <f t="shared" si="1"/>
        <v>Over-Forecaster</v>
      </c>
      <c r="H8" s="23">
        <f>COUNTIF(RAW_Forecast_Data!A:A,A8)</f>
        <v>50</v>
      </c>
      <c r="I8" s="24">
        <f>IFERROR(COUNTIFS(RAW_Forecast_Data!A:A,A8,RAW_Forecast_Data!M:M,"Yes")/H8,"")</f>
        <v>0.6</v>
      </c>
      <c r="K8" s="11"/>
    </row>
    <row r="9" spans="1:15" x14ac:dyDescent="0.25">
      <c r="A9" s="25" t="s">
        <v>44</v>
      </c>
      <c r="B9" s="25" t="s">
        <v>45</v>
      </c>
      <c r="C9" s="25" t="s">
        <v>16</v>
      </c>
      <c r="D9" s="23">
        <f>SUMIFS(RAW_Forecast_Data!F:F,RAW_Forecast_Data!A:A,A9,RAW_Forecast_Data!E:E,"&lt;&gt;Q4 2024")</f>
        <v>6824711.6099999994</v>
      </c>
      <c r="E9" s="23">
        <f>SUMIFS(RAW_Forecast_Data!G:G,RAW_Forecast_Data!A:A,A9,RAW_Forecast_Data!E:E,"&lt;&gt;Q4 2024")</f>
        <v>4227008.76</v>
      </c>
      <c r="F9" s="26">
        <f t="shared" si="0"/>
        <v>0.38545127358572118</v>
      </c>
      <c r="G9" s="25" t="str">
        <f t="shared" si="1"/>
        <v>Over-Forecaster</v>
      </c>
      <c r="H9" s="23">
        <f>COUNTIF(RAW_Forecast_Data!A:A,A9)</f>
        <v>47</v>
      </c>
      <c r="I9" s="24">
        <f>IFERROR(COUNTIFS(RAW_Forecast_Data!A:A,A9,RAW_Forecast_Data!M:M,"Yes")/H9,"")</f>
        <v>0.55319148936170215</v>
      </c>
      <c r="K9" s="11"/>
      <c r="L9" s="11"/>
      <c r="M9" s="11"/>
      <c r="N9" s="11"/>
      <c r="O9" s="11"/>
    </row>
    <row r="10" spans="1:15" x14ac:dyDescent="0.25">
      <c r="A10" s="23" t="s">
        <v>49</v>
      </c>
      <c r="B10" s="23" t="s">
        <v>50</v>
      </c>
      <c r="C10" s="23" t="s">
        <v>51</v>
      </c>
      <c r="D10" s="23">
        <f>SUMIFS(RAW_Forecast_Data!F:F,RAW_Forecast_Data!A:A,A10,RAW_Forecast_Data!E:E,"&lt;&gt;Q4 2024")</f>
        <v>1767849.5999999999</v>
      </c>
      <c r="E10" s="23">
        <f>SUMIFS(RAW_Forecast_Data!G:G,RAW_Forecast_Data!A:A,A10,RAW_Forecast_Data!E:E,"&lt;&gt;Q4 2024")</f>
        <v>2305549.92</v>
      </c>
      <c r="F10" s="24">
        <f t="shared" si="0"/>
        <v>0.76678001402806317</v>
      </c>
      <c r="G10" s="23" t="str">
        <f t="shared" si="1"/>
        <v>Under-Forecaster</v>
      </c>
      <c r="H10" s="23">
        <f>COUNTIF(RAW_Forecast_Data!A:A,A10)</f>
        <v>50</v>
      </c>
      <c r="I10" s="24">
        <f>IFERROR(COUNTIFS(RAW_Forecast_Data!A:A,A10,RAW_Forecast_Data!M:M,"Yes")/H10,"")</f>
        <v>0.56000000000000005</v>
      </c>
    </row>
    <row r="11" spans="1:15" x14ac:dyDescent="0.25">
      <c r="A11" s="25" t="s">
        <v>55</v>
      </c>
      <c r="B11" s="25" t="s">
        <v>56</v>
      </c>
      <c r="C11" s="25" t="s">
        <v>51</v>
      </c>
      <c r="D11" s="23">
        <f>SUMIFS(RAW_Forecast_Data!F:F,RAW_Forecast_Data!A:A,A11,RAW_Forecast_Data!E:E,"&lt;&gt;Q4 2024")</f>
        <v>2867670.4799999995</v>
      </c>
      <c r="E11" s="23">
        <f>SUMIFS(RAW_Forecast_Data!G:G,RAW_Forecast_Data!A:A,A11,RAW_Forecast_Data!E:E,"&lt;&gt;Q4 2024")</f>
        <v>1945103.2499999993</v>
      </c>
      <c r="F11" s="26">
        <f t="shared" si="0"/>
        <v>0.52569755358745063</v>
      </c>
      <c r="G11" s="25" t="str">
        <f t="shared" si="1"/>
        <v>Over-Forecaster</v>
      </c>
      <c r="H11" s="23">
        <f>COUNTIF(RAW_Forecast_Data!A:A,A11)</f>
        <v>49</v>
      </c>
      <c r="I11" s="24">
        <f>IFERROR(COUNTIFS(RAW_Forecast_Data!A:A,A11,RAW_Forecast_Data!M:M,"Yes")/H11,"")</f>
        <v>0.44897959183673469</v>
      </c>
    </row>
    <row r="12" spans="1:15" x14ac:dyDescent="0.25">
      <c r="A12" s="23" t="s">
        <v>59</v>
      </c>
      <c r="B12" s="23" t="s">
        <v>60</v>
      </c>
      <c r="C12" s="23" t="s">
        <v>51</v>
      </c>
      <c r="D12" s="23">
        <f>SUMIFS(RAW_Forecast_Data!F:F,RAW_Forecast_Data!A:A,A12,RAW_Forecast_Data!E:E,"&lt;&gt;Q4 2024")</f>
        <v>4555593.8800000008</v>
      </c>
      <c r="E12" s="23">
        <f>SUMIFS(RAW_Forecast_Data!G:G,RAW_Forecast_Data!A:A,A12,RAW_Forecast_Data!E:E,"&lt;&gt;Q4 2024")</f>
        <v>1377349.87</v>
      </c>
      <c r="F12" s="24">
        <f t="shared" si="0"/>
        <v>-1.3075066685852308</v>
      </c>
      <c r="G12" s="23" t="str">
        <f t="shared" si="1"/>
        <v>Over-Forecaster</v>
      </c>
      <c r="H12" s="23">
        <f>COUNTIF(RAW_Forecast_Data!A:A,A12)</f>
        <v>49</v>
      </c>
      <c r="I12" s="24">
        <f>IFERROR(COUNTIFS(RAW_Forecast_Data!A:A,A12,RAW_Forecast_Data!M:M,"Yes")/H12,"")</f>
        <v>0.40816326530612246</v>
      </c>
    </row>
    <row r="13" spans="1:15" x14ac:dyDescent="0.25">
      <c r="A13" s="25" t="s">
        <v>62</v>
      </c>
      <c r="B13" s="25" t="s">
        <v>63</v>
      </c>
      <c r="C13" s="25" t="s">
        <v>51</v>
      </c>
      <c r="D13" s="23">
        <f>SUMIFS(RAW_Forecast_Data!F:F,RAW_Forecast_Data!A:A,A13,RAW_Forecast_Data!E:E,"&lt;&gt;Q4 2024")</f>
        <v>2626574.4899999998</v>
      </c>
      <c r="E13" s="23">
        <f>SUMIFS(RAW_Forecast_Data!G:G,RAW_Forecast_Data!A:A,A13,RAW_Forecast_Data!E:E,"&lt;&gt;Q4 2024")</f>
        <v>1699234.6200000003</v>
      </c>
      <c r="F13" s="26">
        <f t="shared" si="0"/>
        <v>0.45426025394892244</v>
      </c>
      <c r="G13" s="25" t="str">
        <f t="shared" si="1"/>
        <v>Over-Forecaster</v>
      </c>
      <c r="H13" s="23">
        <f>COUNTIF(RAW_Forecast_Data!A:A,A13)</f>
        <v>51</v>
      </c>
      <c r="I13" s="24">
        <f>IFERROR(COUNTIFS(RAW_Forecast_Data!A:A,A13,RAW_Forecast_Data!M:M,"Yes")/H13,"")</f>
        <v>0.45098039215686275</v>
      </c>
    </row>
    <row r="14" spans="1:15" x14ac:dyDescent="0.25">
      <c r="A14" s="23" t="s">
        <v>66</v>
      </c>
      <c r="B14" s="23" t="s">
        <v>67</v>
      </c>
      <c r="C14" s="23" t="s">
        <v>51</v>
      </c>
      <c r="D14" s="23">
        <f>SUMIFS(RAW_Forecast_Data!F:F,RAW_Forecast_Data!A:A,A14,RAW_Forecast_Data!E:E,"&lt;&gt;Q4 2024")</f>
        <v>2681890.65</v>
      </c>
      <c r="E14" s="23">
        <f>SUMIFS(RAW_Forecast_Data!G:G,RAW_Forecast_Data!A:A,A14,RAW_Forecast_Data!E:E,"&lt;&gt;Q4 2024")</f>
        <v>1451053.5100000002</v>
      </c>
      <c r="F14" s="24">
        <f t="shared" si="0"/>
        <v>0.1517630938365605</v>
      </c>
      <c r="G14" s="23" t="str">
        <f t="shared" si="1"/>
        <v>Over-Forecaster</v>
      </c>
      <c r="H14" s="23">
        <f>COUNTIF(RAW_Forecast_Data!A:A,A14)</f>
        <v>40</v>
      </c>
      <c r="I14" s="24">
        <f>IFERROR(COUNTIFS(RAW_Forecast_Data!A:A,A14,RAW_Forecast_Data!M:M,"Yes")/H14,"")</f>
        <v>0.55000000000000004</v>
      </c>
    </row>
    <row r="15" spans="1:15" x14ac:dyDescent="0.25">
      <c r="A15" s="25" t="s">
        <v>68</v>
      </c>
      <c r="B15" s="25" t="s">
        <v>69</v>
      </c>
      <c r="C15" s="25" t="s">
        <v>51</v>
      </c>
      <c r="D15" s="23">
        <f>SUMIFS(RAW_Forecast_Data!F:F,RAW_Forecast_Data!A:A,A15,RAW_Forecast_Data!E:E,"&lt;&gt;Q4 2024")</f>
        <v>3696704.62</v>
      </c>
      <c r="E15" s="23">
        <f>SUMIFS(RAW_Forecast_Data!G:G,RAW_Forecast_Data!A:A,A15,RAW_Forecast_Data!E:E,"&lt;&gt;Q4 2024")</f>
        <v>1792911.8399999999</v>
      </c>
      <c r="F15" s="26">
        <f t="shared" si="0"/>
        <v>-6.184405586835795E-2</v>
      </c>
      <c r="G15" s="25" t="str">
        <f t="shared" si="1"/>
        <v>Over-Forecaster</v>
      </c>
      <c r="H15" s="23">
        <f>COUNTIF(RAW_Forecast_Data!A:A,A15)</f>
        <v>47</v>
      </c>
      <c r="I15" s="24">
        <f>IFERROR(COUNTIFS(RAW_Forecast_Data!A:A,A15,RAW_Forecast_Data!M:M,"Yes")/H15,"")</f>
        <v>0.31914893617021278</v>
      </c>
      <c r="K15" s="11"/>
    </row>
    <row r="16" spans="1:15" x14ac:dyDescent="0.25">
      <c r="A16" s="23" t="s">
        <v>74</v>
      </c>
      <c r="B16" s="23" t="s">
        <v>75</v>
      </c>
      <c r="C16" s="23" t="s">
        <v>51</v>
      </c>
      <c r="D16" s="23">
        <f>SUMIFS(RAW_Forecast_Data!F:F,RAW_Forecast_Data!A:A,A16,RAW_Forecast_Data!E:E,"&lt;&gt;Q4 2024")</f>
        <v>3018090.8799999994</v>
      </c>
      <c r="E16" s="23">
        <f>SUMIFS(RAW_Forecast_Data!G:G,RAW_Forecast_Data!A:A,A16,RAW_Forecast_Data!E:E,"&lt;&gt;Q4 2024")</f>
        <v>1971848.9600000002</v>
      </c>
      <c r="F16" s="24">
        <f t="shared" si="0"/>
        <v>0.4694107199772547</v>
      </c>
      <c r="G16" s="23" t="str">
        <f t="shared" si="1"/>
        <v>Over-Forecaster</v>
      </c>
      <c r="H16" s="23">
        <f>COUNTIF(RAW_Forecast_Data!A:A,A16)</f>
        <v>46</v>
      </c>
      <c r="I16" s="24">
        <f>IFERROR(COUNTIFS(RAW_Forecast_Data!A:A,A16,RAW_Forecast_Data!M:M,"Yes")/H16,"")</f>
        <v>0.56521739130434778</v>
      </c>
      <c r="K16" s="11"/>
    </row>
    <row r="17" spans="1:12" x14ac:dyDescent="0.25">
      <c r="A17" s="25" t="s">
        <v>78</v>
      </c>
      <c r="B17" s="25" t="s">
        <v>79</v>
      </c>
      <c r="C17" s="25" t="s">
        <v>137</v>
      </c>
      <c r="D17" s="23">
        <f>SUMIFS(RAW_Forecast_Data!F:F,RAW_Forecast_Data!A:A,A17,RAW_Forecast_Data!E:E,"&lt;&gt;Q4 2024")</f>
        <v>977364.28</v>
      </c>
      <c r="E17" s="23">
        <f>SUMIFS(RAW_Forecast_Data!G:G,RAW_Forecast_Data!A:A,A17,RAW_Forecast_Data!E:E,"&lt;&gt;Q4 2024")</f>
        <v>662577.23999999987</v>
      </c>
      <c r="F17" s="26">
        <f t="shared" si="0"/>
        <v>0.52490514162544999</v>
      </c>
      <c r="G17" s="25" t="str">
        <f t="shared" si="1"/>
        <v>Over-Forecaster</v>
      </c>
      <c r="H17" s="23">
        <f>COUNTIF(RAW_Forecast_Data!A:A,A17)</f>
        <v>47</v>
      </c>
      <c r="I17" s="24">
        <f>IFERROR(COUNTIFS(RAW_Forecast_Data!A:A,A17,RAW_Forecast_Data!M:M,"Yes")/H17,"")</f>
        <v>0.51063829787234039</v>
      </c>
      <c r="K17" s="11"/>
    </row>
    <row r="18" spans="1:12" x14ac:dyDescent="0.25">
      <c r="A18" s="23" t="s">
        <v>82</v>
      </c>
      <c r="B18" s="23" t="s">
        <v>83</v>
      </c>
      <c r="C18" s="23" t="s">
        <v>137</v>
      </c>
      <c r="D18" s="23">
        <f>SUMIFS(RAW_Forecast_Data!F:F,RAW_Forecast_Data!A:A,A18,RAW_Forecast_Data!E:E,"&lt;&gt;Q4 2024")</f>
        <v>1426472.0399999996</v>
      </c>
      <c r="E18" s="23">
        <f>SUMIFS(RAW_Forecast_Data!G:G,RAW_Forecast_Data!A:A,A18,RAW_Forecast_Data!E:E,"&lt;&gt;Q4 2024")</f>
        <v>575113.43000000005</v>
      </c>
      <c r="F18" s="24">
        <f t="shared" si="0"/>
        <v>-0.48033164518519311</v>
      </c>
      <c r="G18" s="23" t="str">
        <f t="shared" si="1"/>
        <v>Over-Forecaster</v>
      </c>
      <c r="H18" s="23">
        <f>COUNTIF(RAW_Forecast_Data!A:A,A18)</f>
        <v>52</v>
      </c>
      <c r="I18" s="24">
        <f>IFERROR(COUNTIFS(RAW_Forecast_Data!A:A,A18,RAW_Forecast_Data!M:M,"Yes")/H18,"")</f>
        <v>0.51923076923076927</v>
      </c>
      <c r="K18" s="11"/>
      <c r="L18" t="str">
        <f>IFERROR(K16/K17,"")</f>
        <v/>
      </c>
    </row>
    <row r="19" spans="1:12" x14ac:dyDescent="0.25">
      <c r="A19" s="25" t="s">
        <v>84</v>
      </c>
      <c r="B19" s="25" t="s">
        <v>85</v>
      </c>
      <c r="C19" s="25" t="s">
        <v>137</v>
      </c>
      <c r="D19" s="23">
        <f>SUMIFS(RAW_Forecast_Data!F:F,RAW_Forecast_Data!A:A,A19,RAW_Forecast_Data!E:E,"&lt;&gt;Q4 2024")</f>
        <v>991403.39000000013</v>
      </c>
      <c r="E19" s="23">
        <f>SUMIFS(RAW_Forecast_Data!G:G,RAW_Forecast_Data!A:A,A19,RAW_Forecast_Data!E:E,"&lt;&gt;Q4 2024")</f>
        <v>627810.16000000015</v>
      </c>
      <c r="F19" s="26">
        <f t="shared" si="0"/>
        <v>0.42085481700391736</v>
      </c>
      <c r="G19" s="25" t="str">
        <f t="shared" si="1"/>
        <v>Over-Forecaster</v>
      </c>
      <c r="H19" s="23">
        <f>COUNTIF(RAW_Forecast_Data!A:A,A19)</f>
        <v>50</v>
      </c>
      <c r="I19" s="24">
        <f>IFERROR(COUNTIFS(RAW_Forecast_Data!A:A,A19,RAW_Forecast_Data!M:M,"Yes")/H19,"")</f>
        <v>0.34</v>
      </c>
    </row>
    <row r="20" spans="1:12" x14ac:dyDescent="0.25">
      <c r="A20" s="23" t="s">
        <v>87</v>
      </c>
      <c r="B20" s="23" t="s">
        <v>88</v>
      </c>
      <c r="C20" s="23" t="s">
        <v>137</v>
      </c>
      <c r="D20" s="23">
        <f>SUMIFS(RAW_Forecast_Data!F:F,RAW_Forecast_Data!A:A,A20,RAW_Forecast_Data!E:E,"&lt;&gt;Q4 2024")</f>
        <v>679077.26000000013</v>
      </c>
      <c r="E20" s="23">
        <f>SUMIFS(RAW_Forecast_Data!G:G,RAW_Forecast_Data!A:A,A20,RAW_Forecast_Data!E:E,"&lt;&gt;Q4 2024")</f>
        <v>574019.08000000007</v>
      </c>
      <c r="F20" s="24">
        <f t="shared" si="0"/>
        <v>0.81697789557796574</v>
      </c>
      <c r="G20" s="23" t="str">
        <f t="shared" si="1"/>
        <v>Over-Forecaster</v>
      </c>
      <c r="H20" s="23">
        <f>COUNTIF(RAW_Forecast_Data!A:A,A20)</f>
        <v>44</v>
      </c>
      <c r="I20" s="24">
        <f>IFERROR(COUNTIFS(RAW_Forecast_Data!A:A,A20,RAW_Forecast_Data!M:M,"Yes")/H20,"")</f>
        <v>0.5</v>
      </c>
    </row>
    <row r="21" spans="1:12" x14ac:dyDescent="0.25">
      <c r="A21" s="25" t="s">
        <v>90</v>
      </c>
      <c r="B21" s="25" t="s">
        <v>91</v>
      </c>
      <c r="C21" s="25" t="s">
        <v>137</v>
      </c>
      <c r="D21" s="23">
        <f>SUMIFS(RAW_Forecast_Data!F:F,RAW_Forecast_Data!A:A,A21,RAW_Forecast_Data!E:E,"&lt;&gt;Q4 2024")</f>
        <v>1413894.87</v>
      </c>
      <c r="E21" s="23">
        <f>SUMIFS(RAW_Forecast_Data!G:G,RAW_Forecast_Data!A:A,A21,RAW_Forecast_Data!E:E,"&lt;&gt;Q4 2024")</f>
        <v>654103.04000000004</v>
      </c>
      <c r="F21" s="26">
        <f t="shared" si="0"/>
        <v>-0.16157819722103728</v>
      </c>
      <c r="G21" s="25" t="str">
        <f t="shared" si="1"/>
        <v>Over-Forecaster</v>
      </c>
      <c r="H21" s="23">
        <f>COUNTIF(RAW_Forecast_Data!A:A,A21)</f>
        <v>49</v>
      </c>
      <c r="I21" s="24">
        <f>IFERROR(COUNTIFS(RAW_Forecast_Data!A:A,A21,RAW_Forecast_Data!M:M,"Yes")/H21,"")</f>
        <v>0.42857142857142855</v>
      </c>
    </row>
    <row r="22" spans="1:12" x14ac:dyDescent="0.25">
      <c r="A22" s="23" t="s">
        <v>93</v>
      </c>
      <c r="B22" s="23" t="s">
        <v>94</v>
      </c>
      <c r="C22" s="23" t="s">
        <v>137</v>
      </c>
      <c r="D22" s="23">
        <f>SUMIFS(RAW_Forecast_Data!F:F,RAW_Forecast_Data!A:A,A22,RAW_Forecast_Data!E:E,"&lt;&gt;Q4 2024")</f>
        <v>1038726.3899999999</v>
      </c>
      <c r="E22" s="23">
        <f>SUMIFS(RAW_Forecast_Data!G:G,RAW_Forecast_Data!A:A,A22,RAW_Forecast_Data!E:E,"&lt;&gt;Q4 2024")</f>
        <v>524709.30999999982</v>
      </c>
      <c r="F22" s="24">
        <f t="shared" si="0"/>
        <v>2.0377435269825384E-2</v>
      </c>
      <c r="G22" s="23" t="str">
        <f t="shared" si="1"/>
        <v>Over-Forecaster</v>
      </c>
      <c r="H22" s="23">
        <f>COUNTIF(RAW_Forecast_Data!A:A,A22)</f>
        <v>46</v>
      </c>
      <c r="I22" s="24">
        <f>IFERROR(COUNTIFS(RAW_Forecast_Data!A:A,A22,RAW_Forecast_Data!M:M,"Yes")/H22,"")</f>
        <v>0.54347826086956519</v>
      </c>
    </row>
    <row r="23" spans="1:12" x14ac:dyDescent="0.25">
      <c r="A23" s="25" t="s">
        <v>96</v>
      </c>
      <c r="B23" s="25" t="s">
        <v>97</v>
      </c>
      <c r="C23" s="25" t="s">
        <v>137</v>
      </c>
      <c r="D23" s="23">
        <f>SUMIFS(RAW_Forecast_Data!F:F,RAW_Forecast_Data!A:A,A23,RAW_Forecast_Data!E:E,"&lt;&gt;Q4 2024")</f>
        <v>876338.2699999999</v>
      </c>
      <c r="E23" s="23">
        <f>SUMIFS(RAW_Forecast_Data!G:G,RAW_Forecast_Data!A:A,A23,RAW_Forecast_Data!E:E,"&lt;&gt;Q4 2024")</f>
        <v>745038.41999999993</v>
      </c>
      <c r="F23" s="26">
        <f t="shared" si="0"/>
        <v>0.82376767898761516</v>
      </c>
      <c r="G23" s="25" t="str">
        <f t="shared" si="1"/>
        <v>Over-Forecaster</v>
      </c>
      <c r="H23" s="23">
        <f>COUNTIF(RAW_Forecast_Data!A:A,A23)</f>
        <v>50</v>
      </c>
      <c r="I23" s="24">
        <f>IFERROR(COUNTIFS(RAW_Forecast_Data!A:A,A23,RAW_Forecast_Data!M:M,"Yes")/H23,"")</f>
        <v>0.56000000000000005</v>
      </c>
    </row>
    <row r="27" spans="1:12" x14ac:dyDescent="0.25">
      <c r="A27" s="18"/>
    </row>
    <row r="28" spans="1:12" x14ac:dyDescent="0.25">
      <c r="A28" s="27" t="s">
        <v>638</v>
      </c>
      <c r="B28" s="27"/>
      <c r="C28" s="27"/>
      <c r="D28" s="27"/>
      <c r="E28" s="27"/>
    </row>
    <row r="29" spans="1:12" x14ac:dyDescent="0.25">
      <c r="A29" s="20" t="s">
        <v>2</v>
      </c>
      <c r="B29" s="20" t="s">
        <v>618</v>
      </c>
      <c r="C29" s="20" t="s">
        <v>619</v>
      </c>
      <c r="D29" s="20" t="s">
        <v>620</v>
      </c>
      <c r="E29" s="20" t="s">
        <v>621</v>
      </c>
    </row>
    <row r="30" spans="1:12" x14ac:dyDescent="0.25">
      <c r="A30" s="25" t="s">
        <v>16</v>
      </c>
      <c r="B30" s="25">
        <f>SUMIFS(RAW_Forecast_Data!F:F,RAW_Forecast_Data!C:C,A30,RAW_Forecast_Data!E:E,"&lt;&gt;Q4 2024")</f>
        <v>14380593.190000009</v>
      </c>
      <c r="C30" s="25">
        <f>SUMIFS(RAW_Forecast_Data!G:G,RAW_Forecast_Data!C:C,A30,RAW_Forecast_Data!E:E,"&lt;&gt;Q4 2024")</f>
        <v>13078341.679999994</v>
      </c>
      <c r="D30" s="26">
        <f>IFERROR(1-ABS(B30-C30)/C30,"")</f>
        <v>0.90042686283449236</v>
      </c>
      <c r="E30" s="26">
        <f>IFERROR(ABS(B30-C30)/C30,"")</f>
        <v>9.9573137165507614E-2</v>
      </c>
    </row>
    <row r="31" spans="1:12" x14ac:dyDescent="0.25">
      <c r="A31" s="23" t="s">
        <v>51</v>
      </c>
      <c r="B31" s="25">
        <f>SUMIFS(RAW_Forecast_Data!F:F,RAW_Forecast_Data!C:C,A31,RAW_Forecast_Data!E:E,"&lt;&gt;Q4 2024")</f>
        <v>7907622.5400000019</v>
      </c>
      <c r="C31" s="25">
        <f>SUMIFS(RAW_Forecast_Data!G:G,RAW_Forecast_Data!C:C,A31,RAW_Forecast_Data!E:E,"&lt;&gt;Q4 2024")</f>
        <v>3844083.1199999982</v>
      </c>
      <c r="D31" s="24">
        <f>IFERROR(1-ABS(B31-C31)/C31,"")</f>
        <v>-5.7089374279712723E-2</v>
      </c>
      <c r="E31" s="24">
        <f>IFERROR(ABS(B31-C31)/C31,"")</f>
        <v>1.0570893742797127</v>
      </c>
    </row>
    <row r="32" spans="1:12" x14ac:dyDescent="0.25">
      <c r="A32" s="25" t="s">
        <v>137</v>
      </c>
      <c r="B32" s="25">
        <f>SUMIFS(RAW_Forecast_Data!F:F,RAW_Forecast_Data!C:C,A32,RAW_Forecast_Data!E:E,"&lt;&gt;Q4 2024")</f>
        <v>3602747.1699999985</v>
      </c>
      <c r="C32" s="25">
        <f>SUMIFS(RAW_Forecast_Data!G:G,RAW_Forecast_Data!C:C,A32,RAW_Forecast_Data!E:E,"&lt;&gt;Q4 2024")</f>
        <v>2414286.040000001</v>
      </c>
      <c r="D32" s="26">
        <f>IFERROR(1-ABS(B32-C32)/C32,"")</f>
        <v>0.50773805990279541</v>
      </c>
      <c r="E32" s="26">
        <f>IFERROR(ABS(B32-C32)/C32,"")</f>
        <v>0.49226194009720453</v>
      </c>
    </row>
    <row r="33" spans="1:9" x14ac:dyDescent="0.25">
      <c r="A33" s="25"/>
      <c r="B33" s="25"/>
      <c r="C33" s="25"/>
      <c r="D33" s="26"/>
      <c r="E33" s="26"/>
    </row>
    <row r="35" spans="1:9" x14ac:dyDescent="0.25">
      <c r="A35" s="27" t="s">
        <v>622</v>
      </c>
      <c r="B35" s="27"/>
      <c r="C35" s="27"/>
      <c r="D35" s="27"/>
      <c r="E35" s="27"/>
    </row>
    <row r="36" spans="1:9" x14ac:dyDescent="0.25">
      <c r="A36" s="19" t="s">
        <v>629</v>
      </c>
    </row>
    <row r="37" spans="1:9" x14ac:dyDescent="0.25">
      <c r="A37" s="20" t="s">
        <v>4</v>
      </c>
      <c r="B37" s="20" t="s">
        <v>618</v>
      </c>
      <c r="C37" s="20" t="s">
        <v>619</v>
      </c>
      <c r="D37" s="20" t="s">
        <v>620</v>
      </c>
      <c r="E37" s="20" t="s">
        <v>623</v>
      </c>
    </row>
    <row r="38" spans="1:9" x14ac:dyDescent="0.25">
      <c r="A38" s="25" t="s">
        <v>18</v>
      </c>
      <c r="B38" s="25">
        <f>SUMIFS(RAW_Forecast_Data!F:F,RAW_Forecast_Data!E:E,A38)</f>
        <v>16813211.059999995</v>
      </c>
      <c r="C38" s="25">
        <f>SUMIFS(RAW_Forecast_Data!G:G,RAW_Forecast_Data!E:E,A38)</f>
        <v>15230711.780000003</v>
      </c>
      <c r="D38" s="26">
        <f>IFERROR(1-ABS(B38-C38)/C38,"")</f>
        <v>0.89609814020129852</v>
      </c>
      <c r="E38" s="25">
        <f>IFERROR(B38-C38,"")</f>
        <v>1582499.2799999919</v>
      </c>
    </row>
    <row r="39" spans="1:9" x14ac:dyDescent="0.25">
      <c r="A39" s="23" t="s">
        <v>205</v>
      </c>
      <c r="B39" s="25">
        <f>SUMIFS(RAW_Forecast_Data!F:F,RAW_Forecast_Data!E:E,A39)</f>
        <v>24730556.759999987</v>
      </c>
      <c r="C39" s="25">
        <f>SUMIFS(RAW_Forecast_Data!G:G,RAW_Forecast_Data!E:E,A39)</f>
        <v>16561149.029999994</v>
      </c>
      <c r="D39" s="24">
        <f>IFERROR(1-ABS(B39-C39)/C39,"")</f>
        <v>0.50671250435574422</v>
      </c>
      <c r="E39" s="23">
        <f>IFERROR(B39-C39,"")</f>
        <v>8169407.729999993</v>
      </c>
    </row>
    <row r="40" spans="1:9" x14ac:dyDescent="0.25">
      <c r="A40" s="25" t="s">
        <v>306</v>
      </c>
      <c r="B40" s="25">
        <f>SUMIFS(RAW_Forecast_Data!F:F,RAW_Forecast_Data!E:E,A40)</f>
        <v>17691460.289999999</v>
      </c>
      <c r="C40" s="25">
        <f>SUMIFS(RAW_Forecast_Data!G:G,RAW_Forecast_Data!E:E,A40)</f>
        <v>8377362.4199999953</v>
      </c>
      <c r="D40" s="26">
        <f>IFERROR(1-ABS(B40-C40)/C40,"")</f>
        <v>-0.11181746748399712</v>
      </c>
      <c r="E40" s="25">
        <f>IFERROR(B40-C40,"")</f>
        <v>9314097.8700000048</v>
      </c>
    </row>
    <row r="43" spans="1:9" x14ac:dyDescent="0.25">
      <c r="A43" s="27" t="s">
        <v>624</v>
      </c>
      <c r="B43" s="27"/>
      <c r="C43" s="27"/>
      <c r="D43" s="27"/>
      <c r="E43" s="27"/>
    </row>
    <row r="44" spans="1:9" x14ac:dyDescent="0.25">
      <c r="A44" s="15" t="s">
        <v>630</v>
      </c>
      <c r="B44" s="14">
        <f>COUNTIF(Cleaned_Forecast_Data!N:N,"FLAG")</f>
        <v>76</v>
      </c>
    </row>
    <row r="45" spans="1:9" x14ac:dyDescent="0.25">
      <c r="A45" s="15" t="s">
        <v>625</v>
      </c>
      <c r="B45" s="14">
        <v>1048575</v>
      </c>
    </row>
    <row r="46" spans="1:9" x14ac:dyDescent="0.25">
      <c r="A46" s="15" t="s">
        <v>626</v>
      </c>
      <c r="B46" s="17">
        <f>IFERROR(B44/B45,"")</f>
        <v>7.2479317168538254E-5</v>
      </c>
    </row>
    <row r="48" spans="1:9" x14ac:dyDescent="0.25">
      <c r="A48" s="29" t="s">
        <v>639</v>
      </c>
      <c r="B48" s="29"/>
      <c r="C48" s="29"/>
      <c r="D48" s="29"/>
      <c r="E48" s="29"/>
      <c r="F48" s="29"/>
      <c r="G48" s="29"/>
      <c r="H48" s="29"/>
      <c r="I48" s="29"/>
    </row>
    <row r="49" spans="1:9" x14ac:dyDescent="0.2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4.25" customHeight="1" x14ac:dyDescent="0.25">
      <c r="A50" s="22" t="s">
        <v>637</v>
      </c>
      <c r="B50" s="12"/>
      <c r="C50" s="12"/>
      <c r="D50" s="12"/>
      <c r="E50" s="12"/>
      <c r="F50" s="12"/>
      <c r="G50" s="21"/>
      <c r="H50" s="21"/>
    </row>
    <row r="51" spans="1:9" x14ac:dyDescent="0.25">
      <c r="A51" s="20" t="s">
        <v>0</v>
      </c>
      <c r="B51" s="20" t="s">
        <v>1</v>
      </c>
      <c r="C51" s="20" t="s">
        <v>2</v>
      </c>
      <c r="D51" s="20" t="s">
        <v>631</v>
      </c>
      <c r="E51" s="20" t="s">
        <v>632</v>
      </c>
      <c r="F51" s="20" t="s">
        <v>633</v>
      </c>
      <c r="G51" s="20" t="s">
        <v>634</v>
      </c>
      <c r="H51" s="20" t="s">
        <v>635</v>
      </c>
      <c r="I51" s="20" t="s">
        <v>636</v>
      </c>
    </row>
    <row r="52" spans="1:9" x14ac:dyDescent="0.25">
      <c r="A52" s="25" t="s">
        <v>14</v>
      </c>
      <c r="B52" s="25" t="s">
        <v>15</v>
      </c>
      <c r="C52" s="25" t="s">
        <v>16</v>
      </c>
      <c r="D52" s="25">
        <f>SUMIFS(RAW_Forecast_Data!F:F,RAW_Forecast_Data!A:A,A52,RAW_Forecast_Data!E:E,"&lt;&gt;Q4 2024")</f>
        <v>19225746.680000007</v>
      </c>
      <c r="E52" s="25">
        <f>SUMIFS(RAW_Forecast_Data!I:I,RAW_Forecast_Data!A:A,A52,RAW_Forecast_Data!E:E,"&lt;&gt;Q4 2024")</f>
        <v>6103274.6099999994</v>
      </c>
      <c r="F52" s="25">
        <f>SUMIFS(RAW_Forecast_Data!G:G,RAW_Forecast_Data!A:A,A52,RAW_Forecast_Data!E:E,"&lt;&gt;Q4 2024")</f>
        <v>4793418.0999999987</v>
      </c>
      <c r="G52" s="26">
        <f t="shared" ref="G52:G71" si="2">IFERROR(1-ABS(D52-F52)/F52,"")</f>
        <v>-2.0108637049624387</v>
      </c>
      <c r="H52" s="26">
        <f t="shared" ref="H52:H71" si="3">IFERROR(1-ABS(E52-F52)/F52,"")</f>
        <v>0.72673852297591135</v>
      </c>
      <c r="I52" s="25" t="str">
        <f>IF(H52&gt;G52,"Yes — Model Wins","No — Rep Wins")</f>
        <v>Yes — Model Wins</v>
      </c>
    </row>
    <row r="53" spans="1:9" x14ac:dyDescent="0.25">
      <c r="A53" s="23" t="s">
        <v>21</v>
      </c>
      <c r="B53" s="23" t="s">
        <v>22</v>
      </c>
      <c r="C53" s="23" t="s">
        <v>16</v>
      </c>
      <c r="D53" s="25">
        <f>SUMIFS(RAW_Forecast_Data!F:F,RAW_Forecast_Data!A:A,A53,RAW_Forecast_Data!E:E,"&lt;&gt;Q4 2024")</f>
        <v>4452816.25</v>
      </c>
      <c r="E53" s="25">
        <f>SUMIFS(RAW_Forecast_Data!I:I,RAW_Forecast_Data!A:A,A53,RAW_Forecast_Data!E:E,"&lt;&gt;Q4 2024")</f>
        <v>4546769.1499999985</v>
      </c>
      <c r="F53" s="25">
        <f>SUMIFS(RAW_Forecast_Data!G:G,RAW_Forecast_Data!A:A,A53,RAW_Forecast_Data!E:E,"&lt;&gt;Q4 2024")</f>
        <v>5916007.8100000005</v>
      </c>
      <c r="G53" s="24">
        <f t="shared" si="2"/>
        <v>0.75267247661054049</v>
      </c>
      <c r="H53" s="24">
        <f t="shared" si="3"/>
        <v>0.76855360845103382</v>
      </c>
      <c r="I53" s="23" t="str">
        <f t="shared" ref="I53:I71" si="4">IF(H53&gt;G53,"Yes — Model Wins","No — Rep Wins")</f>
        <v>Yes — Model Wins</v>
      </c>
    </row>
    <row r="54" spans="1:9" x14ac:dyDescent="0.25">
      <c r="A54" s="25" t="s">
        <v>27</v>
      </c>
      <c r="B54" s="25" t="s">
        <v>28</v>
      </c>
      <c r="C54" s="25" t="s">
        <v>16</v>
      </c>
      <c r="D54" s="25">
        <f>SUMIFS(RAW_Forecast_Data!F:F,RAW_Forecast_Data!A:A,A54,RAW_Forecast_Data!E:E,"&lt;&gt;Q4 2024")</f>
        <v>5471677.0200000014</v>
      </c>
      <c r="E54" s="25">
        <f>SUMIFS(RAW_Forecast_Data!I:I,RAW_Forecast_Data!A:A,A54,RAW_Forecast_Data!E:E,"&lt;&gt;Q4 2024")</f>
        <v>5612114.6700000009</v>
      </c>
      <c r="F54" s="25">
        <f>SUMIFS(RAW_Forecast_Data!G:G,RAW_Forecast_Data!A:A,A54,RAW_Forecast_Data!E:E,"&lt;&gt;Q4 2024")</f>
        <v>4481642.5500000007</v>
      </c>
      <c r="G54" s="26">
        <f t="shared" si="2"/>
        <v>0.77909115710265642</v>
      </c>
      <c r="H54" s="26">
        <f t="shared" si="3"/>
        <v>0.7477549564946897</v>
      </c>
      <c r="I54" s="25" t="str">
        <f t="shared" si="4"/>
        <v>No — Rep Wins</v>
      </c>
    </row>
    <row r="55" spans="1:9" x14ac:dyDescent="0.25">
      <c r="A55" s="23" t="s">
        <v>32</v>
      </c>
      <c r="B55" s="23" t="s">
        <v>33</v>
      </c>
      <c r="C55" s="23" t="s">
        <v>16</v>
      </c>
      <c r="D55" s="25">
        <f>SUMIFS(RAW_Forecast_Data!F:F,RAW_Forecast_Data!A:A,A55,RAW_Forecast_Data!E:E,"&lt;&gt;Q4 2024")</f>
        <v>5680832.4900000012</v>
      </c>
      <c r="E55" s="25">
        <f>SUMIFS(RAW_Forecast_Data!I:I,RAW_Forecast_Data!A:A,A55,RAW_Forecast_Data!E:E,"&lt;&gt;Q4 2024")</f>
        <v>5820065.6700000009</v>
      </c>
      <c r="F55" s="25">
        <f>SUMIFS(RAW_Forecast_Data!G:G,RAW_Forecast_Data!A:A,A55,RAW_Forecast_Data!E:E,"&lt;&gt;Q4 2024")</f>
        <v>5029247.87</v>
      </c>
      <c r="G55" s="24">
        <f t="shared" si="2"/>
        <v>0.87044094130122862</v>
      </c>
      <c r="H55" s="24">
        <f t="shared" si="3"/>
        <v>0.84275624895775902</v>
      </c>
      <c r="I55" s="23" t="str">
        <f t="shared" si="4"/>
        <v>No — Rep Wins</v>
      </c>
    </row>
    <row r="56" spans="1:9" x14ac:dyDescent="0.25">
      <c r="A56" s="25" t="s">
        <v>39</v>
      </c>
      <c r="B56" s="25" t="s">
        <v>40</v>
      </c>
      <c r="C56" s="25" t="s">
        <v>16</v>
      </c>
      <c r="D56" s="25">
        <f>SUMIFS(RAW_Forecast_Data!F:F,RAW_Forecast_Data!A:A,A56,RAW_Forecast_Data!E:E,"&lt;&gt;Q4 2024")</f>
        <v>6035497.8899999997</v>
      </c>
      <c r="E56" s="25">
        <f>SUMIFS(RAW_Forecast_Data!I:I,RAW_Forecast_Data!A:A,A56,RAW_Forecast_Data!E:E,"&lt;&gt;Q4 2024")</f>
        <v>5423977.96</v>
      </c>
      <c r="F56" s="25">
        <f>SUMIFS(RAW_Forecast_Data!G:G,RAW_Forecast_Data!A:A,A56,RAW_Forecast_Data!E:E,"&lt;&gt;Q4 2024")</f>
        <v>4989297.0900000008</v>
      </c>
      <c r="G56" s="26">
        <f t="shared" si="2"/>
        <v>0.79031098346560902</v>
      </c>
      <c r="H56" s="26">
        <f t="shared" si="3"/>
        <v>0.91287733278677152</v>
      </c>
      <c r="I56" s="25" t="str">
        <f t="shared" si="4"/>
        <v>Yes — Model Wins</v>
      </c>
    </row>
    <row r="57" spans="1:9" x14ac:dyDescent="0.25">
      <c r="A57" s="23" t="s">
        <v>44</v>
      </c>
      <c r="B57" s="23" t="s">
        <v>45</v>
      </c>
      <c r="C57" s="23" t="s">
        <v>16</v>
      </c>
      <c r="D57" s="25">
        <f>SUMIFS(RAW_Forecast_Data!F:F,RAW_Forecast_Data!A:A,A57,RAW_Forecast_Data!E:E,"&lt;&gt;Q4 2024")</f>
        <v>6824711.6099999994</v>
      </c>
      <c r="E57" s="25">
        <f>SUMIFS(RAW_Forecast_Data!I:I,RAW_Forecast_Data!A:A,A57,RAW_Forecast_Data!E:E,"&lt;&gt;Q4 2024")</f>
        <v>5053727.3399999989</v>
      </c>
      <c r="F57" s="25">
        <f>SUMIFS(RAW_Forecast_Data!G:G,RAW_Forecast_Data!A:A,A57,RAW_Forecast_Data!E:E,"&lt;&gt;Q4 2024")</f>
        <v>4227008.76</v>
      </c>
      <c r="G57" s="24">
        <f t="shared" si="2"/>
        <v>0.38545127358572118</v>
      </c>
      <c r="H57" s="24">
        <f t="shared" si="3"/>
        <v>0.80441995109563025</v>
      </c>
      <c r="I57" s="23" t="str">
        <f t="shared" si="4"/>
        <v>Yes — Model Wins</v>
      </c>
    </row>
    <row r="58" spans="1:9" x14ac:dyDescent="0.25">
      <c r="A58" s="25" t="s">
        <v>49</v>
      </c>
      <c r="B58" s="25" t="s">
        <v>50</v>
      </c>
      <c r="C58" s="25" t="s">
        <v>51</v>
      </c>
      <c r="D58" s="25">
        <f>SUMIFS(RAW_Forecast_Data!F:F,RAW_Forecast_Data!A:A,A58,RAW_Forecast_Data!E:E,"&lt;&gt;Q4 2024")</f>
        <v>1767849.5999999999</v>
      </c>
      <c r="E58" s="25">
        <f>SUMIFS(RAW_Forecast_Data!I:I,RAW_Forecast_Data!A:A,A58,RAW_Forecast_Data!E:E,"&lt;&gt;Q4 2024")</f>
        <v>1679642.7400000007</v>
      </c>
      <c r="F58" s="25">
        <f>SUMIFS(RAW_Forecast_Data!G:G,RAW_Forecast_Data!A:A,A58,RAW_Forecast_Data!E:E,"&lt;&gt;Q4 2024")</f>
        <v>2305549.92</v>
      </c>
      <c r="G58" s="26">
        <f t="shared" si="2"/>
        <v>0.76678001402806317</v>
      </c>
      <c r="H58" s="26">
        <f t="shared" si="3"/>
        <v>0.72852152340297227</v>
      </c>
      <c r="I58" s="25" t="str">
        <f t="shared" si="4"/>
        <v>No — Rep Wins</v>
      </c>
    </row>
    <row r="59" spans="1:9" x14ac:dyDescent="0.25">
      <c r="A59" s="23" t="s">
        <v>55</v>
      </c>
      <c r="B59" s="23" t="s">
        <v>56</v>
      </c>
      <c r="C59" s="23" t="s">
        <v>51</v>
      </c>
      <c r="D59" s="25">
        <f>SUMIFS(RAW_Forecast_Data!F:F,RAW_Forecast_Data!A:A,A59,RAW_Forecast_Data!E:E,"&lt;&gt;Q4 2024")</f>
        <v>2867670.4799999995</v>
      </c>
      <c r="E59" s="25">
        <f>SUMIFS(RAW_Forecast_Data!I:I,RAW_Forecast_Data!A:A,A59,RAW_Forecast_Data!E:E,"&lt;&gt;Q4 2024")</f>
        <v>2414613.9999999995</v>
      </c>
      <c r="F59" s="25">
        <f>SUMIFS(RAW_Forecast_Data!G:G,RAW_Forecast_Data!A:A,A59,RAW_Forecast_Data!E:E,"&lt;&gt;Q4 2024")</f>
        <v>1945103.2499999993</v>
      </c>
      <c r="G59" s="24">
        <f t="shared" si="2"/>
        <v>0.52569755358745063</v>
      </c>
      <c r="H59" s="24">
        <f t="shared" si="3"/>
        <v>0.75861911186462705</v>
      </c>
      <c r="I59" s="23" t="str">
        <f t="shared" si="4"/>
        <v>Yes — Model Wins</v>
      </c>
    </row>
    <row r="60" spans="1:9" x14ac:dyDescent="0.25">
      <c r="A60" s="25" t="s">
        <v>59</v>
      </c>
      <c r="B60" s="25" t="s">
        <v>60</v>
      </c>
      <c r="C60" s="25" t="s">
        <v>51</v>
      </c>
      <c r="D60" s="25">
        <f>SUMIFS(RAW_Forecast_Data!F:F,RAW_Forecast_Data!A:A,A60,RAW_Forecast_Data!E:E,"&lt;&gt;Q4 2024")</f>
        <v>4555593.8800000008</v>
      </c>
      <c r="E60" s="25">
        <f>SUMIFS(RAW_Forecast_Data!I:I,RAW_Forecast_Data!A:A,A60,RAW_Forecast_Data!E:E,"&lt;&gt;Q4 2024")</f>
        <v>2734400.5500000003</v>
      </c>
      <c r="F60" s="25">
        <f>SUMIFS(RAW_Forecast_Data!G:G,RAW_Forecast_Data!A:A,A60,RAW_Forecast_Data!E:E,"&lt;&gt;Q4 2024")</f>
        <v>1377349.87</v>
      </c>
      <c r="G60" s="26">
        <f t="shared" si="2"/>
        <v>-1.3075066685852308</v>
      </c>
      <c r="H60" s="26">
        <f t="shared" si="3"/>
        <v>1.4737860323027374E-2</v>
      </c>
      <c r="I60" s="25" t="str">
        <f t="shared" si="4"/>
        <v>Yes — Model Wins</v>
      </c>
    </row>
    <row r="61" spans="1:9" x14ac:dyDescent="0.25">
      <c r="A61" s="23" t="s">
        <v>62</v>
      </c>
      <c r="B61" s="23" t="s">
        <v>63</v>
      </c>
      <c r="C61" s="23" t="s">
        <v>51</v>
      </c>
      <c r="D61" s="25">
        <f>SUMIFS(RAW_Forecast_Data!F:F,RAW_Forecast_Data!A:A,A61,RAW_Forecast_Data!E:E,"&lt;&gt;Q4 2024")</f>
        <v>2626574.4899999998</v>
      </c>
      <c r="E61" s="25">
        <f>SUMIFS(RAW_Forecast_Data!I:I,RAW_Forecast_Data!A:A,A61,RAW_Forecast_Data!E:E,"&lt;&gt;Q4 2024")</f>
        <v>2144917.5199999996</v>
      </c>
      <c r="F61" s="25">
        <f>SUMIFS(RAW_Forecast_Data!G:G,RAW_Forecast_Data!A:A,A61,RAW_Forecast_Data!E:E,"&lt;&gt;Q4 2024")</f>
        <v>1699234.6200000003</v>
      </c>
      <c r="G61" s="24">
        <f t="shared" si="2"/>
        <v>0.45426025394892244</v>
      </c>
      <c r="H61" s="24">
        <f t="shared" si="3"/>
        <v>0.73771550158270727</v>
      </c>
      <c r="I61" s="23" t="str">
        <f t="shared" si="4"/>
        <v>Yes — Model Wins</v>
      </c>
    </row>
    <row r="62" spans="1:9" x14ac:dyDescent="0.25">
      <c r="A62" s="25" t="s">
        <v>66</v>
      </c>
      <c r="B62" s="25" t="s">
        <v>67</v>
      </c>
      <c r="C62" s="25" t="s">
        <v>51</v>
      </c>
      <c r="D62" s="25">
        <f>SUMIFS(RAW_Forecast_Data!F:F,RAW_Forecast_Data!A:A,A62,RAW_Forecast_Data!E:E,"&lt;&gt;Q4 2024")</f>
        <v>2681890.65</v>
      </c>
      <c r="E62" s="25">
        <f>SUMIFS(RAW_Forecast_Data!I:I,RAW_Forecast_Data!A:A,A62,RAW_Forecast_Data!E:E,"&lt;&gt;Q4 2024")</f>
        <v>1858592.2599999993</v>
      </c>
      <c r="F62" s="25">
        <f>SUMIFS(RAW_Forecast_Data!G:G,RAW_Forecast_Data!A:A,A62,RAW_Forecast_Data!E:E,"&lt;&gt;Q4 2024")</f>
        <v>1451053.5100000002</v>
      </c>
      <c r="G62" s="26">
        <f t="shared" si="2"/>
        <v>0.1517630938365605</v>
      </c>
      <c r="H62" s="26">
        <f t="shared" si="3"/>
        <v>0.71914285228530339</v>
      </c>
      <c r="I62" s="25" t="str">
        <f t="shared" si="4"/>
        <v>Yes — Model Wins</v>
      </c>
    </row>
    <row r="63" spans="1:9" x14ac:dyDescent="0.25">
      <c r="A63" s="23" t="s">
        <v>68</v>
      </c>
      <c r="B63" s="23" t="s">
        <v>69</v>
      </c>
      <c r="C63" s="23" t="s">
        <v>51</v>
      </c>
      <c r="D63" s="25">
        <f>SUMIFS(RAW_Forecast_Data!F:F,RAW_Forecast_Data!A:A,A63,RAW_Forecast_Data!E:E,"&lt;&gt;Q4 2024")</f>
        <v>3696704.62</v>
      </c>
      <c r="E63" s="25">
        <f>SUMIFS(RAW_Forecast_Data!I:I,RAW_Forecast_Data!A:A,A63,RAW_Forecast_Data!E:E,"&lt;&gt;Q4 2024")</f>
        <v>2187905.3999999994</v>
      </c>
      <c r="F63" s="25">
        <f>SUMIFS(RAW_Forecast_Data!G:G,RAW_Forecast_Data!A:A,A63,RAW_Forecast_Data!E:E,"&lt;&gt;Q4 2024")</f>
        <v>1792911.8399999999</v>
      </c>
      <c r="G63" s="24">
        <f t="shared" si="2"/>
        <v>-6.184405586835795E-2</v>
      </c>
      <c r="H63" s="24">
        <f t="shared" si="3"/>
        <v>0.77969158818204942</v>
      </c>
      <c r="I63" s="23" t="str">
        <f t="shared" si="4"/>
        <v>Yes — Model Wins</v>
      </c>
    </row>
    <row r="64" spans="1:9" x14ac:dyDescent="0.25">
      <c r="A64" s="25" t="s">
        <v>74</v>
      </c>
      <c r="B64" s="25" t="s">
        <v>75</v>
      </c>
      <c r="C64" s="25" t="s">
        <v>51</v>
      </c>
      <c r="D64" s="25">
        <f>SUMIFS(RAW_Forecast_Data!F:F,RAW_Forecast_Data!A:A,A64,RAW_Forecast_Data!E:E,"&lt;&gt;Q4 2024")</f>
        <v>3018090.8799999994</v>
      </c>
      <c r="E64" s="25">
        <f>SUMIFS(RAW_Forecast_Data!I:I,RAW_Forecast_Data!A:A,A64,RAW_Forecast_Data!E:E,"&lt;&gt;Q4 2024")</f>
        <v>2010382.8900000001</v>
      </c>
      <c r="F64" s="25">
        <f>SUMIFS(RAW_Forecast_Data!G:G,RAW_Forecast_Data!A:A,A64,RAW_Forecast_Data!E:E,"&lt;&gt;Q4 2024")</f>
        <v>1971848.9600000002</v>
      </c>
      <c r="G64" s="26">
        <f t="shared" si="2"/>
        <v>0.4694107199772547</v>
      </c>
      <c r="H64" s="26">
        <f t="shared" si="3"/>
        <v>0.98045797077682872</v>
      </c>
      <c r="I64" s="25" t="str">
        <f t="shared" si="4"/>
        <v>Yes — Model Wins</v>
      </c>
    </row>
    <row r="65" spans="1:9" x14ac:dyDescent="0.25">
      <c r="A65" s="23" t="s">
        <v>78</v>
      </c>
      <c r="B65" s="23" t="s">
        <v>79</v>
      </c>
      <c r="C65" s="23" t="s">
        <v>137</v>
      </c>
      <c r="D65" s="25">
        <f>SUMIFS(RAW_Forecast_Data!F:F,RAW_Forecast_Data!A:A,A65,RAW_Forecast_Data!E:E,"&lt;&gt;Q4 2024")</f>
        <v>977364.28</v>
      </c>
      <c r="E65" s="25">
        <f>SUMIFS(RAW_Forecast_Data!I:I,RAW_Forecast_Data!A:A,A65,RAW_Forecast_Data!E:E,"&lt;&gt;Q4 2024")</f>
        <v>714684.18999999983</v>
      </c>
      <c r="F65" s="25">
        <f>SUMIFS(RAW_Forecast_Data!G:G,RAW_Forecast_Data!A:A,A65,RAW_Forecast_Data!E:E,"&lt;&gt;Q4 2024")</f>
        <v>662577.23999999987</v>
      </c>
      <c r="G65" s="24">
        <f t="shared" si="2"/>
        <v>0.52490514162544999</v>
      </c>
      <c r="H65" s="24">
        <f t="shared" si="3"/>
        <v>0.92135716886381436</v>
      </c>
      <c r="I65" s="23" t="str">
        <f t="shared" si="4"/>
        <v>Yes — Model Wins</v>
      </c>
    </row>
    <row r="66" spans="1:9" x14ac:dyDescent="0.25">
      <c r="A66" s="25" t="s">
        <v>82</v>
      </c>
      <c r="B66" s="25" t="s">
        <v>83</v>
      </c>
      <c r="C66" s="25" t="s">
        <v>137</v>
      </c>
      <c r="D66" s="25">
        <f>SUMIFS(RAW_Forecast_Data!F:F,RAW_Forecast_Data!A:A,A66,RAW_Forecast_Data!E:E,"&lt;&gt;Q4 2024")</f>
        <v>1426472.0399999996</v>
      </c>
      <c r="E66" s="25">
        <f>SUMIFS(RAW_Forecast_Data!I:I,RAW_Forecast_Data!A:A,A66,RAW_Forecast_Data!E:E,"&lt;&gt;Q4 2024")</f>
        <v>955669.5399999998</v>
      </c>
      <c r="F66" s="25">
        <f>SUMIFS(RAW_Forecast_Data!G:G,RAW_Forecast_Data!A:A,A66,RAW_Forecast_Data!E:E,"&lt;&gt;Q4 2024")</f>
        <v>575113.43000000005</v>
      </c>
      <c r="G66" s="26">
        <f t="shared" si="2"/>
        <v>-0.48033164518519311</v>
      </c>
      <c r="H66" s="26">
        <f t="shared" si="3"/>
        <v>0.33829382144666709</v>
      </c>
      <c r="I66" s="25" t="str">
        <f t="shared" si="4"/>
        <v>Yes — Model Wins</v>
      </c>
    </row>
    <row r="67" spans="1:9" x14ac:dyDescent="0.25">
      <c r="A67" s="23" t="s">
        <v>84</v>
      </c>
      <c r="B67" s="23" t="s">
        <v>85</v>
      </c>
      <c r="C67" s="23" t="s">
        <v>137</v>
      </c>
      <c r="D67" s="25">
        <f>SUMIFS(RAW_Forecast_Data!F:F,RAW_Forecast_Data!A:A,A67,RAW_Forecast_Data!E:E,"&lt;&gt;Q4 2024")</f>
        <v>991403.39000000013</v>
      </c>
      <c r="E67" s="25">
        <f>SUMIFS(RAW_Forecast_Data!I:I,RAW_Forecast_Data!A:A,A67,RAW_Forecast_Data!E:E,"&lt;&gt;Q4 2024")</f>
        <v>747668.22000000009</v>
      </c>
      <c r="F67" s="25">
        <f>SUMIFS(RAW_Forecast_Data!G:G,RAW_Forecast_Data!A:A,A67,RAW_Forecast_Data!E:E,"&lt;&gt;Q4 2024")</f>
        <v>627810.16000000015</v>
      </c>
      <c r="G67" s="24">
        <f t="shared" si="2"/>
        <v>0.42085481700391736</v>
      </c>
      <c r="H67" s="24">
        <f t="shared" si="3"/>
        <v>0.80908550444612126</v>
      </c>
      <c r="I67" s="23" t="str">
        <f t="shared" si="4"/>
        <v>Yes — Model Wins</v>
      </c>
    </row>
    <row r="68" spans="1:9" x14ac:dyDescent="0.25">
      <c r="A68" s="25" t="s">
        <v>87</v>
      </c>
      <c r="B68" s="25" t="s">
        <v>88</v>
      </c>
      <c r="C68" s="25" t="s">
        <v>137</v>
      </c>
      <c r="D68" s="25">
        <f>SUMIFS(RAW_Forecast_Data!F:F,RAW_Forecast_Data!A:A,A68,RAW_Forecast_Data!E:E,"&lt;&gt;Q4 2024")</f>
        <v>679077.26000000013</v>
      </c>
      <c r="E68" s="25">
        <f>SUMIFS(RAW_Forecast_Data!I:I,RAW_Forecast_Data!A:A,A68,RAW_Forecast_Data!E:E,"&lt;&gt;Q4 2024")</f>
        <v>639090.46000000008</v>
      </c>
      <c r="F68" s="25">
        <f>SUMIFS(RAW_Forecast_Data!G:G,RAW_Forecast_Data!A:A,A68,RAW_Forecast_Data!E:E,"&lt;&gt;Q4 2024")</f>
        <v>574019.08000000007</v>
      </c>
      <c r="G68" s="26">
        <f t="shared" si="2"/>
        <v>0.81697789557796574</v>
      </c>
      <c r="H68" s="26">
        <f t="shared" si="3"/>
        <v>0.88663899464805251</v>
      </c>
      <c r="I68" s="25" t="str">
        <f t="shared" si="4"/>
        <v>Yes — Model Wins</v>
      </c>
    </row>
    <row r="69" spans="1:9" x14ac:dyDescent="0.25">
      <c r="A69" s="23" t="s">
        <v>90</v>
      </c>
      <c r="B69" s="23" t="s">
        <v>91</v>
      </c>
      <c r="C69" s="23" t="s">
        <v>137</v>
      </c>
      <c r="D69" s="25">
        <f>SUMIFS(RAW_Forecast_Data!F:F,RAW_Forecast_Data!A:A,A69,RAW_Forecast_Data!E:E,"&lt;&gt;Q4 2024")</f>
        <v>1413894.87</v>
      </c>
      <c r="E69" s="25">
        <f>SUMIFS(RAW_Forecast_Data!I:I,RAW_Forecast_Data!A:A,A69,RAW_Forecast_Data!E:E,"&lt;&gt;Q4 2024")</f>
        <v>840653.1100000001</v>
      </c>
      <c r="F69" s="25">
        <f>SUMIFS(RAW_Forecast_Data!G:G,RAW_Forecast_Data!A:A,A69,RAW_Forecast_Data!E:E,"&lt;&gt;Q4 2024")</f>
        <v>654103.04000000004</v>
      </c>
      <c r="G69" s="24">
        <f t="shared" si="2"/>
        <v>-0.16157819722103728</v>
      </c>
      <c r="H69" s="24">
        <f t="shared" si="3"/>
        <v>0.7148001788831313</v>
      </c>
      <c r="I69" s="23" t="str">
        <f t="shared" si="4"/>
        <v>Yes — Model Wins</v>
      </c>
    </row>
    <row r="70" spans="1:9" x14ac:dyDescent="0.25">
      <c r="A70" s="25" t="s">
        <v>93</v>
      </c>
      <c r="B70" s="25" t="s">
        <v>94</v>
      </c>
      <c r="C70" s="25" t="s">
        <v>137</v>
      </c>
      <c r="D70" s="25">
        <f>SUMIFS(RAW_Forecast_Data!F:F,RAW_Forecast_Data!A:A,A70,RAW_Forecast_Data!E:E,"&lt;&gt;Q4 2024")</f>
        <v>1038726.3899999999</v>
      </c>
      <c r="E70" s="25">
        <f>SUMIFS(RAW_Forecast_Data!I:I,RAW_Forecast_Data!A:A,A70,RAW_Forecast_Data!E:E,"&lt;&gt;Q4 2024")</f>
        <v>863025.88000000012</v>
      </c>
      <c r="F70" s="25">
        <f>SUMIFS(RAW_Forecast_Data!G:G,RAW_Forecast_Data!A:A,A70,RAW_Forecast_Data!E:E,"&lt;&gt;Q4 2024")</f>
        <v>524709.30999999982</v>
      </c>
      <c r="G70" s="26">
        <f t="shared" si="2"/>
        <v>2.0377435269825384E-2</v>
      </c>
      <c r="H70" s="26">
        <f t="shared" si="3"/>
        <v>0.35523047990133738</v>
      </c>
      <c r="I70" s="25" t="str">
        <f t="shared" si="4"/>
        <v>Yes — Model Wins</v>
      </c>
    </row>
    <row r="71" spans="1:9" x14ac:dyDescent="0.25">
      <c r="A71" s="23" t="s">
        <v>96</v>
      </c>
      <c r="B71" s="23" t="s">
        <v>97</v>
      </c>
      <c r="C71" s="23" t="s">
        <v>137</v>
      </c>
      <c r="D71" s="25">
        <f>SUMIFS(RAW_Forecast_Data!F:F,RAW_Forecast_Data!A:A,A71,RAW_Forecast_Data!E:E,"&lt;&gt;Q4 2024")</f>
        <v>876338.2699999999</v>
      </c>
      <c r="E71" s="25">
        <f>SUMIFS(RAW_Forecast_Data!I:I,RAW_Forecast_Data!A:A,A71,RAW_Forecast_Data!E:E,"&lt;&gt;Q4 2024")</f>
        <v>833838.5</v>
      </c>
      <c r="F71" s="25">
        <f>SUMIFS(RAW_Forecast_Data!G:G,RAW_Forecast_Data!A:A,A71,RAW_Forecast_Data!E:E,"&lt;&gt;Q4 2024")</f>
        <v>745038.41999999993</v>
      </c>
      <c r="G71" s="24">
        <f t="shared" si="2"/>
        <v>0.82376767898761516</v>
      </c>
      <c r="H71" s="24">
        <f t="shared" si="3"/>
        <v>0.88081140835663208</v>
      </c>
      <c r="I71" s="23" t="str">
        <f t="shared" si="4"/>
        <v>Yes — Model Wins</v>
      </c>
    </row>
  </sheetData>
  <mergeCells count="5">
    <mergeCell ref="A43:E43"/>
    <mergeCell ref="A35:E35"/>
    <mergeCell ref="A28:E28"/>
    <mergeCell ref="A1:I2"/>
    <mergeCell ref="A48:I49"/>
  </mergeCells>
  <phoneticPr fontId="5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52B2-30EE-43BF-A193-A92123E0880F}">
  <dimension ref="A1:G15"/>
  <sheetViews>
    <sheetView workbookViewId="0">
      <selection activeCell="D22" sqref="D22"/>
    </sheetView>
  </sheetViews>
  <sheetFormatPr defaultRowHeight="15" x14ac:dyDescent="0.25"/>
  <cols>
    <col min="1" max="1" width="28.28515625" bestFit="1" customWidth="1"/>
    <col min="2" max="2" width="47" style="2" customWidth="1"/>
    <col min="3" max="3" width="12.42578125" customWidth="1"/>
    <col min="4" max="4" width="30" customWidth="1"/>
    <col min="5" max="5" width="32.85546875" style="6" customWidth="1"/>
    <col min="6" max="6" width="49.140625" style="6" customWidth="1"/>
  </cols>
  <sheetData>
    <row r="1" spans="1:7" x14ac:dyDescent="0.25">
      <c r="A1" s="8" t="s">
        <v>510</v>
      </c>
      <c r="B1" s="9" t="s">
        <v>511</v>
      </c>
      <c r="C1" s="8" t="s">
        <v>512</v>
      </c>
      <c r="D1" s="8" t="s">
        <v>513</v>
      </c>
      <c r="E1" s="10" t="s">
        <v>514</v>
      </c>
      <c r="F1" s="10" t="s">
        <v>13</v>
      </c>
      <c r="G1" s="7"/>
    </row>
    <row r="2" spans="1:7" ht="27" customHeight="1" x14ac:dyDescent="0.25">
      <c r="A2" s="3" t="s">
        <v>0</v>
      </c>
      <c r="B2" s="3" t="s">
        <v>515</v>
      </c>
      <c r="C2" s="2" t="s">
        <v>516</v>
      </c>
      <c r="D2" s="3" t="s">
        <v>517</v>
      </c>
      <c r="E2" s="3" t="s">
        <v>14</v>
      </c>
      <c r="F2" s="3" t="s">
        <v>518</v>
      </c>
    </row>
    <row r="3" spans="1:7" x14ac:dyDescent="0.25">
      <c r="A3" s="3" t="s">
        <v>1</v>
      </c>
      <c r="B3" s="3" t="s">
        <v>519</v>
      </c>
      <c r="C3" s="2" t="s">
        <v>516</v>
      </c>
      <c r="D3" s="3" t="s">
        <v>520</v>
      </c>
      <c r="E3" s="3" t="s">
        <v>15</v>
      </c>
      <c r="F3" s="3" t="s">
        <v>521</v>
      </c>
    </row>
    <row r="4" spans="1:7" ht="30" x14ac:dyDescent="0.25">
      <c r="A4" s="3" t="s">
        <v>2</v>
      </c>
      <c r="B4" s="3" t="s">
        <v>522</v>
      </c>
      <c r="C4" s="2" t="s">
        <v>516</v>
      </c>
      <c r="D4" s="3" t="s">
        <v>523</v>
      </c>
      <c r="E4" s="3" t="s">
        <v>16</v>
      </c>
      <c r="F4" s="3" t="s">
        <v>524</v>
      </c>
    </row>
    <row r="5" spans="1:7" ht="30" x14ac:dyDescent="0.25">
      <c r="A5" s="3" t="s">
        <v>3</v>
      </c>
      <c r="B5" s="3" t="s">
        <v>525</v>
      </c>
      <c r="C5" s="2" t="s">
        <v>526</v>
      </c>
      <c r="D5" s="3" t="s">
        <v>527</v>
      </c>
      <c r="E5" s="3" t="s">
        <v>17</v>
      </c>
      <c r="F5" s="3" t="s">
        <v>528</v>
      </c>
    </row>
    <row r="6" spans="1:7" ht="30" x14ac:dyDescent="0.25">
      <c r="A6" s="3" t="s">
        <v>4</v>
      </c>
      <c r="B6" s="3" t="s">
        <v>529</v>
      </c>
      <c r="C6" s="2" t="s">
        <v>516</v>
      </c>
      <c r="D6" s="3" t="s">
        <v>530</v>
      </c>
      <c r="E6" s="3" t="s">
        <v>18</v>
      </c>
      <c r="F6" s="3" t="s">
        <v>531</v>
      </c>
    </row>
    <row r="7" spans="1:7" ht="30" x14ac:dyDescent="0.25">
      <c r="A7" s="3" t="s">
        <v>5</v>
      </c>
      <c r="B7" s="3" t="s">
        <v>532</v>
      </c>
      <c r="C7" s="2" t="s">
        <v>533</v>
      </c>
      <c r="D7" s="3" t="s">
        <v>534</v>
      </c>
      <c r="E7" s="3" t="s">
        <v>535</v>
      </c>
      <c r="F7" s="3" t="s">
        <v>536</v>
      </c>
    </row>
    <row r="8" spans="1:7" ht="30" x14ac:dyDescent="0.25">
      <c r="A8" s="3" t="s">
        <v>6</v>
      </c>
      <c r="B8" s="3" t="s">
        <v>537</v>
      </c>
      <c r="C8" s="2" t="s">
        <v>533</v>
      </c>
      <c r="D8" s="3" t="s">
        <v>534</v>
      </c>
      <c r="E8" s="3" t="s">
        <v>538</v>
      </c>
      <c r="F8" s="3" t="s">
        <v>539</v>
      </c>
    </row>
    <row r="9" spans="1:7" ht="30" x14ac:dyDescent="0.25">
      <c r="A9" s="3" t="s">
        <v>7</v>
      </c>
      <c r="B9" s="3" t="s">
        <v>540</v>
      </c>
      <c r="C9" s="2" t="s">
        <v>533</v>
      </c>
      <c r="D9" s="3" t="s">
        <v>534</v>
      </c>
      <c r="E9" s="3" t="s">
        <v>541</v>
      </c>
      <c r="F9" s="3" t="s">
        <v>542</v>
      </c>
    </row>
    <row r="10" spans="1:7" ht="30" x14ac:dyDescent="0.25">
      <c r="A10" s="3" t="s">
        <v>8</v>
      </c>
      <c r="B10" s="3" t="s">
        <v>543</v>
      </c>
      <c r="C10" s="2" t="s">
        <v>533</v>
      </c>
      <c r="D10" s="3" t="s">
        <v>534</v>
      </c>
      <c r="E10" s="3" t="s">
        <v>544</v>
      </c>
      <c r="F10" s="3" t="s">
        <v>545</v>
      </c>
    </row>
    <row r="11" spans="1:7" ht="30" x14ac:dyDescent="0.25">
      <c r="A11" s="3" t="s">
        <v>9</v>
      </c>
      <c r="B11" s="3" t="s">
        <v>546</v>
      </c>
      <c r="C11" s="2" t="s">
        <v>516</v>
      </c>
      <c r="D11" s="3" t="s">
        <v>547</v>
      </c>
      <c r="E11" s="3" t="s">
        <v>104</v>
      </c>
      <c r="F11" s="3" t="s">
        <v>548</v>
      </c>
    </row>
    <row r="12" spans="1:7" ht="30" x14ac:dyDescent="0.25">
      <c r="A12" s="3" t="s">
        <v>10</v>
      </c>
      <c r="B12" s="3" t="s">
        <v>549</v>
      </c>
      <c r="C12" s="2" t="s">
        <v>533</v>
      </c>
      <c r="D12" s="3" t="s">
        <v>550</v>
      </c>
      <c r="E12" s="3" t="s">
        <v>551</v>
      </c>
      <c r="F12" s="3" t="s">
        <v>552</v>
      </c>
    </row>
    <row r="13" spans="1:7" ht="30" x14ac:dyDescent="0.25">
      <c r="A13" s="3" t="s">
        <v>11</v>
      </c>
      <c r="B13" s="3" t="s">
        <v>553</v>
      </c>
      <c r="C13" s="2" t="s">
        <v>533</v>
      </c>
      <c r="D13" s="3" t="s">
        <v>550</v>
      </c>
      <c r="E13" s="3" t="s">
        <v>554</v>
      </c>
      <c r="F13" s="3" t="s">
        <v>555</v>
      </c>
    </row>
    <row r="14" spans="1:7" ht="30" x14ac:dyDescent="0.25">
      <c r="A14" s="3" t="s">
        <v>12</v>
      </c>
      <c r="B14" s="3" t="s">
        <v>556</v>
      </c>
      <c r="C14" s="2" t="s">
        <v>516</v>
      </c>
      <c r="D14" s="3" t="s">
        <v>557</v>
      </c>
      <c r="E14" s="3" t="s">
        <v>30</v>
      </c>
      <c r="F14" s="3" t="s">
        <v>558</v>
      </c>
    </row>
    <row r="15" spans="1:7" ht="30" x14ac:dyDescent="0.25">
      <c r="A15" s="3" t="s">
        <v>13</v>
      </c>
      <c r="B15" s="3" t="s">
        <v>559</v>
      </c>
      <c r="C15" s="2" t="s">
        <v>516</v>
      </c>
      <c r="D15" s="3" t="s">
        <v>560</v>
      </c>
      <c r="E15" s="3" t="s">
        <v>115</v>
      </c>
      <c r="F15" s="3" t="s">
        <v>561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BBBC-BE60-4BE1-8CB1-A58EE7DF4D28}">
  <dimension ref="A1:F10"/>
  <sheetViews>
    <sheetView topLeftCell="A7" workbookViewId="0">
      <selection activeCell="A10" sqref="A10"/>
    </sheetView>
  </sheetViews>
  <sheetFormatPr defaultRowHeight="15" x14ac:dyDescent="0.25"/>
  <cols>
    <col min="1" max="1" width="23" style="2" customWidth="1"/>
    <col min="2" max="2" width="18.140625" style="2" customWidth="1"/>
    <col min="3" max="3" width="16.85546875" style="2" bestFit="1" customWidth="1"/>
    <col min="4" max="4" width="16.140625" style="2" customWidth="1"/>
    <col min="5" max="5" width="15.7109375" style="2" customWidth="1"/>
    <col min="6" max="6" width="26.42578125" style="2" bestFit="1" customWidth="1"/>
  </cols>
  <sheetData>
    <row r="1" spans="1:6" x14ac:dyDescent="0.25">
      <c r="A1" s="2" t="s">
        <v>510</v>
      </c>
      <c r="B1" s="2" t="s">
        <v>566</v>
      </c>
      <c r="C1" s="2" t="s">
        <v>562</v>
      </c>
      <c r="D1" s="2" t="s">
        <v>563</v>
      </c>
      <c r="E1" s="2" t="s">
        <v>564</v>
      </c>
      <c r="F1" s="2" t="s">
        <v>565</v>
      </c>
    </row>
    <row r="2" spans="1:6" ht="75" x14ac:dyDescent="0.25">
      <c r="A2" s="3" t="s">
        <v>2</v>
      </c>
      <c r="B2" s="4" t="s">
        <v>567</v>
      </c>
      <c r="C2" s="4" t="s">
        <v>568</v>
      </c>
      <c r="D2" s="4" t="s">
        <v>569</v>
      </c>
      <c r="E2" s="4" t="s">
        <v>570</v>
      </c>
      <c r="F2" s="4" t="s">
        <v>571</v>
      </c>
    </row>
    <row r="3" spans="1:6" ht="105" x14ac:dyDescent="0.25">
      <c r="A3" s="3" t="s">
        <v>3</v>
      </c>
      <c r="B3" s="4" t="s">
        <v>573</v>
      </c>
      <c r="C3" s="4" t="s">
        <v>572</v>
      </c>
      <c r="D3" s="4" t="s">
        <v>574</v>
      </c>
      <c r="E3" s="2" t="s">
        <v>575</v>
      </c>
      <c r="F3" s="4" t="s">
        <v>576</v>
      </c>
    </row>
    <row r="4" spans="1:6" ht="105" x14ac:dyDescent="0.25">
      <c r="A4" s="5" t="s">
        <v>4</v>
      </c>
      <c r="B4" s="4" t="s">
        <v>577</v>
      </c>
      <c r="C4" s="4" t="s">
        <v>572</v>
      </c>
      <c r="D4" s="4" t="s">
        <v>578</v>
      </c>
      <c r="E4" s="2" t="s">
        <v>579</v>
      </c>
      <c r="F4" s="4" t="s">
        <v>580</v>
      </c>
    </row>
    <row r="5" spans="1:6" ht="120" x14ac:dyDescent="0.25">
      <c r="A5" s="3" t="s">
        <v>5</v>
      </c>
      <c r="B5" s="4" t="s">
        <v>581</v>
      </c>
      <c r="C5" s="4" t="s">
        <v>582</v>
      </c>
      <c r="D5" s="4" t="s">
        <v>583</v>
      </c>
      <c r="E5" s="4" t="s">
        <v>584</v>
      </c>
      <c r="F5" s="4" t="s">
        <v>585</v>
      </c>
    </row>
    <row r="6" spans="1:6" ht="120" x14ac:dyDescent="0.25">
      <c r="A6" s="3" t="s">
        <v>6</v>
      </c>
      <c r="B6" s="4" t="s">
        <v>586</v>
      </c>
      <c r="C6" s="4" t="s">
        <v>587</v>
      </c>
      <c r="D6" s="4" t="s">
        <v>589</v>
      </c>
      <c r="E6" s="4" t="s">
        <v>588</v>
      </c>
      <c r="F6" s="4" t="s">
        <v>590</v>
      </c>
    </row>
    <row r="7" spans="1:6" ht="90" x14ac:dyDescent="0.25">
      <c r="A7" s="3" t="s">
        <v>12</v>
      </c>
      <c r="B7" s="4" t="s">
        <v>591</v>
      </c>
      <c r="C7" s="4" t="s">
        <v>572</v>
      </c>
      <c r="D7" s="4" t="s">
        <v>592</v>
      </c>
      <c r="E7" s="4" t="s">
        <v>593</v>
      </c>
      <c r="F7" s="4" t="s">
        <v>594</v>
      </c>
    </row>
    <row r="8" spans="1:6" ht="105" x14ac:dyDescent="0.25">
      <c r="A8" s="3" t="s">
        <v>13</v>
      </c>
      <c r="B8" s="4" t="s">
        <v>595</v>
      </c>
      <c r="C8" s="4" t="s">
        <v>572</v>
      </c>
      <c r="D8" s="4" t="s">
        <v>572</v>
      </c>
      <c r="E8" s="4" t="s">
        <v>596</v>
      </c>
      <c r="F8" s="4" t="s">
        <v>597</v>
      </c>
    </row>
    <row r="9" spans="1:6" ht="90" x14ac:dyDescent="0.25">
      <c r="A9" s="3" t="s">
        <v>598</v>
      </c>
      <c r="B9" s="4" t="s">
        <v>599</v>
      </c>
      <c r="C9" s="4" t="s">
        <v>600</v>
      </c>
      <c r="D9" s="4" t="s">
        <v>601</v>
      </c>
      <c r="E9" s="2" t="s">
        <v>602</v>
      </c>
      <c r="F9" s="4" t="s">
        <v>603</v>
      </c>
    </row>
    <row r="10" spans="1:6" ht="150" x14ac:dyDescent="0.25">
      <c r="A10" s="3" t="s">
        <v>604</v>
      </c>
      <c r="B10" s="4" t="s">
        <v>605</v>
      </c>
      <c r="C10" s="4" t="s">
        <v>606</v>
      </c>
      <c r="D10" s="4" t="s">
        <v>607</v>
      </c>
      <c r="E10" s="4" t="s">
        <v>608</v>
      </c>
      <c r="F10" s="4" t="s">
        <v>609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684A28-27AF-4740-B8E5-3D35031FD0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RAW_Forecast_Data</vt:lpstr>
      <vt:lpstr>Cleaned_Forecast_Data</vt:lpstr>
      <vt:lpstr>Email_Summary</vt:lpstr>
      <vt:lpstr>Analysis_Sheet</vt:lpstr>
      <vt:lpstr>Data_Dictionary</vt:lpstr>
      <vt:lpstr>Messy_Data_Log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Kumar Bhensle</cp:lastModifiedBy>
  <dcterms:created xsi:type="dcterms:W3CDTF">2026-04-25T18:06:20Z</dcterms:created>
  <dcterms:modified xsi:type="dcterms:W3CDTF">2026-05-02T12:38:19Z</dcterms:modified>
</cp:coreProperties>
</file>